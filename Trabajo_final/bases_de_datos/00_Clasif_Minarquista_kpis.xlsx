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https://whatnextadm-my.sharepoint.com/personal/r_fons_what-next_xyz/Documents/01-Capacitaciones/IT Academy - Data Analyst/sprint 13 proyecto final/tablas finales/"/>
    </mc:Choice>
  </mc:AlternateContent>
  <xr:revisionPtr revIDLastSave="527" documentId="11_01EF05B4075314CEEB3B98154B5DCE3AB7CE92D6" xr6:coauthVersionLast="47" xr6:coauthVersionMax="47" xr10:uidLastSave="{F01FA844-7AAD-9C44-895D-972BC32B246B}"/>
  <bookViews>
    <workbookView xWindow="0" yWindow="700" windowWidth="34200" windowHeight="19800" xr2:uid="{00000000-000D-0000-FFFF-FFFF00000000}"/>
  </bookViews>
  <sheets>
    <sheet name="COFOG Clasificación" sheetId="1" r:id="rId1"/>
  </sheets>
  <definedNames>
    <definedName name="_xlnm._FilterDatabase" localSheetId="0" hidden="1">'COFOG Clasificación'!$A$1:$J$70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2" i="1"/>
</calcChain>
</file>

<file path=xl/sharedStrings.xml><?xml version="1.0" encoding="utf-8"?>
<sst xmlns="http://schemas.openxmlformats.org/spreadsheetml/2006/main" count="356" uniqueCount="231">
  <si>
    <t>Subfunción</t>
  </si>
  <si>
    <t>Motivo</t>
  </si>
  <si>
    <t>Servicios generales</t>
  </si>
  <si>
    <t>Investigación básica</t>
  </si>
  <si>
    <t>Defensa militar</t>
  </si>
  <si>
    <t>Defensa civil</t>
  </si>
  <si>
    <t>Prisiones</t>
  </si>
  <si>
    <t>Actividad privada.</t>
  </si>
  <si>
    <t>Transporte</t>
  </si>
  <si>
    <t>Comunicaciones</t>
  </si>
  <si>
    <t>Vivienda</t>
  </si>
  <si>
    <t>Desarrollo comunitario</t>
  </si>
  <si>
    <t>Servicios ambulatorios</t>
  </si>
  <si>
    <t>Familia e hijos</t>
  </si>
  <si>
    <t>Desempleo</t>
  </si>
  <si>
    <t>CodClasificaciónFuncional</t>
  </si>
  <si>
    <t>Órganos ejecutivos y legislativos, asuntos financieros y fiscales, asuntos exteriores</t>
  </si>
  <si>
    <t>Ayuda económica exterior</t>
  </si>
  <si>
    <t>I+D relacionada con los servicios públicos generales</t>
  </si>
  <si>
    <t>Servicios públicos generales n.c.o.p.</t>
  </si>
  <si>
    <t>Operaciones de deuda pública</t>
  </si>
  <si>
    <t>Transferencias de carácter general entre distintos niveles de las administraciones públicas</t>
  </si>
  <si>
    <t>Ayuda militar al exterior</t>
  </si>
  <si>
    <t>I+D relacionada con la defensa</t>
  </si>
  <si>
    <t>Defensa n.c.o.p.</t>
  </si>
  <si>
    <t>Servicios de policía</t>
  </si>
  <si>
    <t>Servicios de protección contra incendios</t>
  </si>
  <si>
    <t>Tribunales de justicia</t>
  </si>
  <si>
    <t>I+D relacionada con el orden público y la seguridad</t>
  </si>
  <si>
    <t>Orden público y seguridad n.c.o.p.</t>
  </si>
  <si>
    <t>Asuntos económicos, comerciales y laborales en general</t>
  </si>
  <si>
    <t>Agricultura, silvicultura, pesca y caza</t>
  </si>
  <si>
    <t>Combustible y energía</t>
  </si>
  <si>
    <t>Minería, manufacturas y construcción</t>
  </si>
  <si>
    <t>Otras actividades</t>
  </si>
  <si>
    <t>I+D relacionada con asuntos económicos</t>
  </si>
  <si>
    <t>Asuntos económicos n.c.o.p.</t>
  </si>
  <si>
    <t>Gestión de los residuos</t>
  </si>
  <si>
    <t>Gestión de aguas residuales</t>
  </si>
  <si>
    <t>Reducción de la contaminación</t>
  </si>
  <si>
    <t>Protección de la biodiversidad y del paisaje</t>
  </si>
  <si>
    <t>I+D relacionada con la protección del medio ambiente</t>
  </si>
  <si>
    <t>Protección del medioambiente n.c.o.p.</t>
  </si>
  <si>
    <t>Urbanismo</t>
  </si>
  <si>
    <t>Abastecimiento de agua</t>
  </si>
  <si>
    <t>Alumbrado público</t>
  </si>
  <si>
    <t>I+D relacionada con la vivienda y los servicios comunitarios</t>
  </si>
  <si>
    <t>Vivienda y servicios comunitarios n.c.o.p.</t>
  </si>
  <si>
    <t>Medicamentos y otros productos farmacéuticos, aparatos y material terapéutico</t>
  </si>
  <si>
    <t>Servicios hospitalarios</t>
  </si>
  <si>
    <t>Servicios de salud pública</t>
  </si>
  <si>
    <t>I+D relacionada con la salud</t>
  </si>
  <si>
    <t>Salud n.c.o.p.</t>
  </si>
  <si>
    <t>Servicios recreativos y deportivos</t>
  </si>
  <si>
    <t>Servicios culturales</t>
  </si>
  <si>
    <t>Servicios de radio y televisión y servicios editoriales</t>
  </si>
  <si>
    <t>Servicios religiosos y otros servicios comunitarios</t>
  </si>
  <si>
    <t>I+D relacionada con el esparcimiento, la cultura y la religión</t>
  </si>
  <si>
    <t>Actividades recreativas, cultura y religión n.c.o.p.</t>
  </si>
  <si>
    <t>Educación preescolar y primaria</t>
  </si>
  <si>
    <t>Educación secundaria</t>
  </si>
  <si>
    <t>Educación postsecundaria no terciaria</t>
  </si>
  <si>
    <t>Educación terciaria</t>
  </si>
  <si>
    <t>Educación no atribuible a ningún nivel</t>
  </si>
  <si>
    <t>Servicios auxiliares de la educación</t>
  </si>
  <si>
    <t>I+D relacionada con la educación</t>
  </si>
  <si>
    <t>Educación n.c.o.p.</t>
  </si>
  <si>
    <t>Enfermedad e incapacidad</t>
  </si>
  <si>
    <t>Supérstites</t>
  </si>
  <si>
    <t>Exclusión social n.c.o.p.</t>
  </si>
  <si>
    <t>I+D relacionada con la protección social</t>
  </si>
  <si>
    <t>Protección social n.c.o.p.</t>
  </si>
  <si>
    <t>Servicios públicos generales</t>
  </si>
  <si>
    <t>Defensa</t>
  </si>
  <si>
    <t>Orden público y seguridad</t>
  </si>
  <si>
    <t>Asuntos económicos</t>
  </si>
  <si>
    <t>Protección del medio ambiente</t>
  </si>
  <si>
    <t xml:space="preserve"> Vivienda y servicios comunitarios</t>
  </si>
  <si>
    <t>Salud</t>
  </si>
  <si>
    <t>Ocio, cultura y religión</t>
  </si>
  <si>
    <t>Educación</t>
  </si>
  <si>
    <t>Grupo funcional</t>
  </si>
  <si>
    <t>CodGrupoFuncional</t>
  </si>
  <si>
    <t>Qué incluye?</t>
  </si>
  <si>
    <t>Prestaciones sociales varias.</t>
  </si>
  <si>
    <t>Investigación en protección social.</t>
  </si>
  <si>
    <t>Apoyos a población vulnerable.</t>
  </si>
  <si>
    <t>Ayudas a vivienda.</t>
  </si>
  <si>
    <t>Prestaciones por desempleo.</t>
  </si>
  <si>
    <t>Prestaciones familiares.</t>
  </si>
  <si>
    <t>Prestaciones a sobrevivientes.</t>
  </si>
  <si>
    <t>Pensiones de vejez.</t>
  </si>
  <si>
    <t>Prestaciones por incapacidad temporal o permanente.</t>
  </si>
  <si>
    <t>Actividades educativas varias.</t>
  </si>
  <si>
    <t>Investigación educativa.</t>
  </si>
  <si>
    <t>Becas, transporte, apoyo escolar.</t>
  </si>
  <si>
    <t>Formación no clasificable.</t>
  </si>
  <si>
    <t>Universidades y educación superior.</t>
  </si>
  <si>
    <t>Formación profesional y similar.</t>
  </si>
  <si>
    <t>Educación secundaria obligatoria.</t>
  </si>
  <si>
    <t>Educación básica obligatoria.</t>
  </si>
  <si>
    <t>Servicios recreativos y culturales varios.</t>
  </si>
  <si>
    <t>Investigación cultural.</t>
  </si>
  <si>
    <t>Apoyo a actividades religiosas.</t>
  </si>
  <si>
    <t>Medios estatales y editoriales.</t>
  </si>
  <si>
    <t>Museos, bibliotecas y cultura.</t>
  </si>
  <si>
    <t>Servicios deportivos públicos.</t>
  </si>
  <si>
    <t>Otros servicios sanitarios.</t>
  </si>
  <si>
    <t>Investigación sanitaria.</t>
  </si>
  <si>
    <t>Prevención sanitaria y vigilancia.</t>
  </si>
  <si>
    <t>Atención hospitalaria.</t>
  </si>
  <si>
    <t>Consultas y atención primaria.</t>
  </si>
  <si>
    <t>Productos farmacéuticos y material terapéutico.</t>
  </si>
  <si>
    <t>Servicios comunitarios varios.</t>
  </si>
  <si>
    <t>Investigación urbana y vivienda.</t>
  </si>
  <si>
    <t>Iluminación de espacios públicos.</t>
  </si>
  <si>
    <t>Suministro de agua potable.</t>
  </si>
  <si>
    <t>Programas locales comunitarios.</t>
  </si>
  <si>
    <t>Planificación territorial.</t>
  </si>
  <si>
    <t>Actividades ambientales generales.</t>
  </si>
  <si>
    <t>Investigación ambiental.</t>
  </si>
  <si>
    <t>Protección ambiental y ecosistemas.</t>
  </si>
  <si>
    <t>Mitigación de contaminación.</t>
  </si>
  <si>
    <t>Depuración y saneamiento de aguas.</t>
  </si>
  <si>
    <t>Gestión y tratamiento de residuos.</t>
  </si>
  <si>
    <t>Actividades económicas varias.</t>
  </si>
  <si>
    <t>Investigación sectorial económica.</t>
  </si>
  <si>
    <t>Promoción y apoyo económico.</t>
  </si>
  <si>
    <t>Telecomunicaciones y correos.</t>
  </si>
  <si>
    <t>Infraestructuras y regulación del transporte.</t>
  </si>
  <si>
    <t>Fomento industrial y manufacturas.</t>
  </si>
  <si>
    <t>Regulación y apoyo energético.</t>
  </si>
  <si>
    <t>Políticas agrarias y subsidios.</t>
  </si>
  <si>
    <t>Servicios complementarios de seguridad.</t>
  </si>
  <si>
    <t>Investigación para orden público.</t>
  </si>
  <si>
    <t>Ejecución de sentencias penales.</t>
  </si>
  <si>
    <t>Justicia civil y penal.</t>
  </si>
  <si>
    <t>Prevención y respuesta a incendios.</t>
  </si>
  <si>
    <t>Seguridad, patrullaje y prevención del delito.</t>
  </si>
  <si>
    <t>Otras actividades generales de defensa.</t>
  </si>
  <si>
    <t>Investigación y desarrollo en defensa.</t>
  </si>
  <si>
    <t>Apoyo militar a otros países.</t>
  </si>
  <si>
    <t>Protección ante emergencias y amenazas no militares.</t>
  </si>
  <si>
    <t>Fuerzas armadas y protección nacional.</t>
  </si>
  <si>
    <t>Investigación para mejorar servicios estatales.</t>
  </si>
  <si>
    <t>Financiación pública de investigación científica general.</t>
  </si>
  <si>
    <t>Gestión administrativa y coordinación estatal.</t>
  </si>
  <si>
    <t>Estado mínimo requiere gobierno, parlamento y recaudación básica.</t>
  </si>
  <si>
    <t>No es función del Estado mínimo según Friedman y Mises.</t>
  </si>
  <si>
    <t>Necesario para operar un Estado mínimo.</t>
  </si>
  <si>
    <t>Actividad que puede ser privada.</t>
  </si>
  <si>
    <t>Solo lo indispensable para eficiencia administrativa.</t>
  </si>
  <si>
    <t>Apoyo básico al funcionamiento estatal.</t>
  </si>
  <si>
    <t>El Estado debe administrar su deuda si existe.</t>
  </si>
  <si>
    <t>Función primaria según todos los autores liberales.</t>
  </si>
  <si>
    <t>Protección de la población.</t>
  </si>
  <si>
    <t>No forma parte del rol básico.</t>
  </si>
  <si>
    <t>Para mantener capacidad defensiva básica.</t>
  </si>
  <si>
    <t>Complemento directo del rol de defensa.</t>
  </si>
  <si>
    <t>Núcleo del Estado mínimo.</t>
  </si>
  <si>
    <t>Protección básica de vidas y propiedad.</t>
  </si>
  <si>
    <t>Función central según Hayek.</t>
  </si>
  <si>
    <t>Sostén del sistema judicial.</t>
  </si>
  <si>
    <t>Solo en apoyo a seguridad básica.</t>
  </si>
  <si>
    <t>Apoyo al sistema legal y policial.</t>
  </si>
  <si>
    <t>Intervencionismo rechazado por escuela austríaca.</t>
  </si>
  <si>
    <t>Sector cubierto por mercado competitivo.</t>
  </si>
  <si>
    <t>Incompatible con Estado mínimo.</t>
  </si>
  <si>
    <t>Puede proveerse con concesiones privadas.</t>
  </si>
  <si>
    <t>El mercado puede proveerlo.</t>
  </si>
  <si>
    <t>Debe ser privada.</t>
  </si>
  <si>
    <t>No parte del rol básico estatal.</t>
  </si>
  <si>
    <t>Protección sanitaria básica.</t>
  </si>
  <si>
    <t>Impacto directo en salud pública.</t>
  </si>
  <si>
    <t>Protege derechos de propiedad.</t>
  </si>
  <si>
    <t>Puede ser privada.</t>
  </si>
  <si>
    <t>Fuera del rol del Estado mínimo.</t>
  </si>
  <si>
    <t>Bien sanitario básico.</t>
  </si>
  <si>
    <t>No núcleo del Estado mínimo.</t>
  </si>
  <si>
    <t>Solo si ligado a seguridad/agua.</t>
  </si>
  <si>
    <t>Garantía constitucional sanitaria.</t>
  </si>
  <si>
    <t>Obligación del Estado español.</t>
  </si>
  <si>
    <t>Derecho sanitario constitucional.</t>
  </si>
  <si>
    <t>Requisito constitucional.</t>
  </si>
  <si>
    <t>Apoyo a sistema sanitario.</t>
  </si>
  <si>
    <t>Parte del sistema de salud.</t>
  </si>
  <si>
    <t>Actividad privada voluntaria.</t>
  </si>
  <si>
    <t>No función estatal mínima.</t>
  </si>
  <si>
    <t>Sector privado puede cubrirlo.</t>
  </si>
  <si>
    <t>Estado mínimo no financia religión.</t>
  </si>
  <si>
    <t>Fuera del Estado mínimo.</t>
  </si>
  <si>
    <t>Constitución española la garantiza.</t>
  </si>
  <si>
    <t>Obligación constitucional.</t>
  </si>
  <si>
    <t>Extensión educativa reconocida.</t>
  </si>
  <si>
    <t>Estado actual lo garantiza.</t>
  </si>
  <si>
    <t>Parte del servicio educativo.</t>
  </si>
  <si>
    <t>Mejora del sistema educativo.</t>
  </si>
  <si>
    <t>Integrado al sistema educativo.</t>
  </si>
  <si>
    <t>No parte del Estado mínimo.</t>
  </si>
  <si>
    <t>Redistribución no mínima.</t>
  </si>
  <si>
    <t>Seguro puede ser privado.</t>
  </si>
  <si>
    <t>Actividad redistributiva.</t>
  </si>
  <si>
    <t>Rol fuera del Estado. El mercado decide</t>
  </si>
  <si>
    <t>El mercado debe operar libremente, el estado debe solo definir el marco.</t>
  </si>
  <si>
    <t>No es función mínima del Estado, pero tiene sentido que el estado lo supervise</t>
  </si>
  <si>
    <t>Nuevamete define el marco. Excesiva intervención estatal no sirve</t>
  </si>
  <si>
    <t>Aunque lo podría hacer un pirvado, esto reduce delito y accidentes (estrechamente vinculado con seguridad)</t>
  </si>
  <si>
    <t>Necesario en un Estado descentralizado real. Lo ideal es autonomia estatal y juridiscional.</t>
  </si>
  <si>
    <t>Complemento necesario escolar, vinculado al acceso a la educación</t>
  </si>
  <si>
    <t>Obligación del Estado actual, según art 41 Constitucion. Desde el minarquismo esto lo puede proveer el privado.</t>
  </si>
  <si>
    <t>Peso estado</t>
  </si>
  <si>
    <t>Cod+Subfunción</t>
  </si>
  <si>
    <t>Clasif_minarquista</t>
  </si>
  <si>
    <t>Cod+Función</t>
  </si>
  <si>
    <t>A pesar de ser parte de seguridad social vigente, se puede sustituir por seguros privados.</t>
  </si>
  <si>
    <t>1-Esencial por definición</t>
  </si>
  <si>
    <t>2-Esencial por adopción</t>
  </si>
  <si>
    <t>Asociado a seguridad y salud de la poblacion</t>
  </si>
  <si>
    <t>Solo donde haya externalidades graves y define el marco regulatorio</t>
  </si>
  <si>
    <t>3-Esencial Mínimo</t>
  </si>
  <si>
    <t>4-No esencial</t>
  </si>
  <si>
    <t>Gobierno, parlamento, hacienda, fiscalidad, exteriores, coordinación institucional. No incluye estructura ministerial</t>
  </si>
  <si>
    <t>Administración de servicios de apoyo: votantes, elecciones y referendos, adm. territorios no autónomos, fideicomiso,etc</t>
  </si>
  <si>
    <t>Transferencias económicas a países extranjeros. Inlcuye gestion de deuda</t>
  </si>
  <si>
    <t>Gastos, comisiones, interes, y adm y gestion de pagos de deuda estatal.</t>
  </si>
  <si>
    <t>Transferencias entre administraciones públicas de carácter general (no atribuibles a ningun función)</t>
  </si>
  <si>
    <t>Políticas económicas, comerciales y laborales. Regalntacion</t>
  </si>
  <si>
    <t>Protección social (pensiones)</t>
  </si>
  <si>
    <t>Edad avanzada(pensiones)</t>
  </si>
  <si>
    <t>10.2</t>
  </si>
  <si>
    <t>Protección social(sin pensiones)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</si>
</sst>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.0_-;\-* #,##0.0_-;_-* &quot;-&quot;??_-;_-@_-"/>
    <numFmt numFmtId="165" formatCode="_-* #,##0_-;\-* #,##0_-;_-* &quot;-&quot;??_-;_-@_-"/>
  </numFmts>
  <fonts count="7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Arial"/>
      <family val="2"/>
    </font>
    <font>
      <b/>
      <sz val="14"/>
      <color theme="1"/>
      <name val="Arial"/>
      <family val="2"/>
    </font>
    <font>
      <sz val="10"/>
      <color rgb="FF000000"/>
      <name val="Helvetica Neue"/>
      <family val="2"/>
    </font>
    <font>
      <b/>
      <i/>
      <sz val="12"/>
      <color rgb="FF0070C0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13">
    <xf numFmtId="0" fontId="0" fillId="0" borderId="0" xfId="0"/>
    <xf numFmtId="49" fontId="3" fillId="0" borderId="0" xfId="0" applyNumberFormat="1" applyFont="1" applyAlignment="1">
      <alignment horizontal="left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49" fontId="2" fillId="0" borderId="0" xfId="0" applyNumberFormat="1" applyFont="1" applyAlignment="1">
      <alignment horizontal="left" wrapText="1"/>
    </xf>
    <xf numFmtId="0" fontId="3" fillId="0" borderId="0" xfId="0" applyFont="1"/>
    <xf numFmtId="0" fontId="2" fillId="0" borderId="0" xfId="0" applyFont="1"/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  <xf numFmtId="164" fontId="2" fillId="0" borderId="0" xfId="0" applyNumberFormat="1" applyFont="1" applyAlignment="1">
      <alignment vertical="top" wrapText="1"/>
    </xf>
    <xf numFmtId="165" fontId="4" fillId="0" borderId="0" xfId="1" applyNumberFormat="1" applyFont="1" applyAlignment="1">
      <alignment vertical="top" wrapText="1"/>
    </xf>
    <xf numFmtId="164" fontId="4" fillId="0" borderId="0" xfId="1" applyNumberFormat="1" applyFont="1" applyAlignment="1">
      <alignment vertical="top" wrapText="1"/>
    </xf>
    <xf numFmtId="0" fontId="5" fillId="0" borderId="0" xfId="0" applyFont="1" applyAlignment="1">
      <alignment vertical="top" wrapText="1"/>
    </xf>
  </cellXfs>
  <cellStyles count="2">
    <cellStyle name="Millares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0"/>
  <sheetViews>
    <sheetView tabSelected="1" zoomScale="140" zoomScaleNormal="140" workbookViewId="0">
      <pane xSplit="5" ySplit="1" topLeftCell="F54" activePane="bottomRight" state="frozen"/>
      <selection pane="topRight" activeCell="E1" sqref="E1"/>
      <selection pane="bottomLeft" activeCell="A2" sqref="A2"/>
      <selection pane="bottomRight" activeCell="H63" sqref="H63"/>
    </sheetView>
  </sheetViews>
  <sheetFormatPr baseColWidth="10" defaultColWidth="8.83203125" defaultRowHeight="16" x14ac:dyDescent="0.2"/>
  <cols>
    <col min="1" max="1" width="4.83203125" style="4" customWidth="1"/>
    <col min="2" max="2" width="21" style="2" customWidth="1"/>
    <col min="3" max="3" width="16.5" style="2" bestFit="1" customWidth="1"/>
    <col min="4" max="4" width="5" style="4" customWidth="1"/>
    <col min="5" max="6" width="27.83203125" style="2" customWidth="1"/>
    <col min="7" max="7" width="43.83203125" style="3" customWidth="1"/>
    <col min="8" max="8" width="25" style="2" bestFit="1" customWidth="1"/>
    <col min="9" max="9" width="16.83203125" style="2" customWidth="1"/>
    <col min="10" max="10" width="41.33203125" style="2" customWidth="1"/>
    <col min="11" max="13" width="8.83203125" style="2"/>
    <col min="14" max="14" width="13.33203125" style="2" bestFit="1" customWidth="1"/>
    <col min="15" max="16384" width="8.83203125" style="2"/>
  </cols>
  <sheetData>
    <row r="1" spans="1:14" s="6" customFormat="1" ht="18" x14ac:dyDescent="0.2">
      <c r="A1" s="1" t="s">
        <v>82</v>
      </c>
      <c r="B1" s="5" t="s">
        <v>81</v>
      </c>
      <c r="C1" s="5" t="s">
        <v>213</v>
      </c>
      <c r="D1" s="1" t="s">
        <v>15</v>
      </c>
      <c r="E1" s="5" t="s">
        <v>0</v>
      </c>
      <c r="F1" s="5" t="s">
        <v>211</v>
      </c>
      <c r="G1" s="5" t="s">
        <v>83</v>
      </c>
      <c r="H1" s="5" t="s">
        <v>212</v>
      </c>
      <c r="I1" s="5" t="s">
        <v>210</v>
      </c>
      <c r="J1" s="5" t="s">
        <v>1</v>
      </c>
    </row>
    <row r="2" spans="1:14" s="8" customFormat="1" ht="34" customHeight="1" x14ac:dyDescent="0.2">
      <c r="A2" s="10">
        <v>1</v>
      </c>
      <c r="B2" s="7" t="s">
        <v>72</v>
      </c>
      <c r="C2" s="7" t="str">
        <f>+CONCATENATE(A2,"-",B2)</f>
        <v>1-Servicios públicos generales</v>
      </c>
      <c r="D2" s="11">
        <v>1.1000000000000001</v>
      </c>
      <c r="E2" s="7" t="s">
        <v>16</v>
      </c>
      <c r="F2" s="7" t="str">
        <f>+CONCATENATE(D2,"-",E2)</f>
        <v>1,1-Órganos ejecutivos y legislativos, asuntos financieros y fiscales, asuntos exteriores</v>
      </c>
      <c r="G2" s="7" t="s">
        <v>221</v>
      </c>
      <c r="H2" s="12" t="s">
        <v>215</v>
      </c>
      <c r="J2" s="7" t="s">
        <v>147</v>
      </c>
      <c r="N2" s="9"/>
    </row>
    <row r="3" spans="1:14" s="8" customFormat="1" ht="34" customHeight="1" x14ac:dyDescent="0.2">
      <c r="A3" s="10">
        <v>1</v>
      </c>
      <c r="B3" s="7" t="s">
        <v>72</v>
      </c>
      <c r="C3" s="7" t="str">
        <f t="shared" ref="C3:C66" si="0">+CONCATENATE(A3,"-",B3)</f>
        <v>1-Servicios públicos generales</v>
      </c>
      <c r="D3" s="11">
        <v>1.2</v>
      </c>
      <c r="E3" s="7" t="s">
        <v>17</v>
      </c>
      <c r="F3" s="7" t="str">
        <f t="shared" ref="F3:F66" si="1">+CONCATENATE(D3,"-",E3)</f>
        <v>1,2-Ayuda económica exterior</v>
      </c>
      <c r="G3" s="7" t="s">
        <v>223</v>
      </c>
      <c r="H3" s="12" t="s">
        <v>219</v>
      </c>
      <c r="J3" s="7" t="s">
        <v>148</v>
      </c>
      <c r="M3" s="7"/>
      <c r="N3" s="9"/>
    </row>
    <row r="4" spans="1:14" s="8" customFormat="1" ht="34" customHeight="1" x14ac:dyDescent="0.2">
      <c r="A4" s="10">
        <v>1</v>
      </c>
      <c r="B4" s="7" t="s">
        <v>72</v>
      </c>
      <c r="C4" s="7" t="str">
        <f t="shared" si="0"/>
        <v>1-Servicios públicos generales</v>
      </c>
      <c r="D4" s="11">
        <v>1.3</v>
      </c>
      <c r="E4" s="7" t="s">
        <v>2</v>
      </c>
      <c r="F4" s="7" t="str">
        <f t="shared" si="1"/>
        <v>1,3-Servicios generales</v>
      </c>
      <c r="G4" s="7" t="s">
        <v>146</v>
      </c>
      <c r="H4" s="12" t="s">
        <v>215</v>
      </c>
      <c r="J4" s="7" t="s">
        <v>149</v>
      </c>
      <c r="N4" s="9"/>
    </row>
    <row r="5" spans="1:14" s="8" customFormat="1" ht="34" customHeight="1" x14ac:dyDescent="0.2">
      <c r="A5" s="10">
        <v>1</v>
      </c>
      <c r="B5" s="7" t="s">
        <v>72</v>
      </c>
      <c r="C5" s="7" t="str">
        <f t="shared" si="0"/>
        <v>1-Servicios públicos generales</v>
      </c>
      <c r="D5" s="11">
        <v>1.4</v>
      </c>
      <c r="E5" s="7" t="s">
        <v>3</v>
      </c>
      <c r="F5" s="7" t="str">
        <f t="shared" si="1"/>
        <v>1,4-Investigación básica</v>
      </c>
      <c r="G5" s="7" t="s">
        <v>145</v>
      </c>
      <c r="H5" s="12" t="s">
        <v>220</v>
      </c>
      <c r="J5" s="7" t="s">
        <v>150</v>
      </c>
      <c r="M5" s="7"/>
      <c r="N5" s="9"/>
    </row>
    <row r="6" spans="1:14" s="8" customFormat="1" ht="34" customHeight="1" x14ac:dyDescent="0.2">
      <c r="A6" s="10">
        <v>1</v>
      </c>
      <c r="B6" s="7" t="s">
        <v>72</v>
      </c>
      <c r="C6" s="7" t="str">
        <f t="shared" si="0"/>
        <v>1-Servicios públicos generales</v>
      </c>
      <c r="D6" s="11">
        <v>1.5</v>
      </c>
      <c r="E6" s="7" t="s">
        <v>18</v>
      </c>
      <c r="F6" s="7" t="str">
        <f t="shared" si="1"/>
        <v>1,5-I+D relacionada con los servicios públicos generales</v>
      </c>
      <c r="G6" s="7" t="s">
        <v>144</v>
      </c>
      <c r="H6" s="12" t="s">
        <v>215</v>
      </c>
      <c r="I6" s="12"/>
      <c r="J6" s="7" t="s">
        <v>151</v>
      </c>
      <c r="M6" s="7"/>
      <c r="N6" s="9"/>
    </row>
    <row r="7" spans="1:14" s="8" customFormat="1" ht="34" customHeight="1" x14ac:dyDescent="0.2">
      <c r="A7" s="10">
        <v>1</v>
      </c>
      <c r="B7" s="7" t="s">
        <v>72</v>
      </c>
      <c r="C7" s="7" t="str">
        <f t="shared" si="0"/>
        <v>1-Servicios públicos generales</v>
      </c>
      <c r="D7" s="11">
        <v>1.6</v>
      </c>
      <c r="E7" s="7" t="s">
        <v>19</v>
      </c>
      <c r="F7" s="7" t="str">
        <f t="shared" si="1"/>
        <v>1,6-Servicios públicos generales n.c.o.p.</v>
      </c>
      <c r="G7" s="7" t="s">
        <v>222</v>
      </c>
      <c r="H7" s="12" t="s">
        <v>219</v>
      </c>
      <c r="I7" s="12"/>
      <c r="J7" s="7" t="s">
        <v>152</v>
      </c>
      <c r="M7" s="7"/>
      <c r="N7" s="9"/>
    </row>
    <row r="8" spans="1:14" s="8" customFormat="1" ht="34" customHeight="1" x14ac:dyDescent="0.2">
      <c r="A8" s="10">
        <v>1</v>
      </c>
      <c r="B8" s="7" t="s">
        <v>72</v>
      </c>
      <c r="C8" s="7" t="str">
        <f t="shared" si="0"/>
        <v>1-Servicios públicos generales</v>
      </c>
      <c r="D8" s="11">
        <v>1.7</v>
      </c>
      <c r="E8" s="7" t="s">
        <v>20</v>
      </c>
      <c r="F8" s="7" t="str">
        <f t="shared" si="1"/>
        <v>1,7-Operaciones de deuda pública</v>
      </c>
      <c r="G8" s="7" t="s">
        <v>224</v>
      </c>
      <c r="H8" s="12" t="s">
        <v>219</v>
      </c>
      <c r="J8" s="7" t="s">
        <v>153</v>
      </c>
      <c r="M8" s="7"/>
      <c r="N8" s="9"/>
    </row>
    <row r="9" spans="1:14" s="8" customFormat="1" ht="34" customHeight="1" x14ac:dyDescent="0.2">
      <c r="A9" s="10">
        <v>1</v>
      </c>
      <c r="B9" s="7" t="s">
        <v>72</v>
      </c>
      <c r="C9" s="7" t="str">
        <f t="shared" si="0"/>
        <v>1-Servicios públicos generales</v>
      </c>
      <c r="D9" s="11">
        <v>1.8</v>
      </c>
      <c r="E9" s="7" t="s">
        <v>21</v>
      </c>
      <c r="F9" s="7" t="str">
        <f t="shared" si="1"/>
        <v>1,8-Transferencias de carácter general entre distintos niveles de las administraciones públicas</v>
      </c>
      <c r="G9" s="7" t="s">
        <v>225</v>
      </c>
      <c r="H9" s="12" t="s">
        <v>219</v>
      </c>
      <c r="I9" s="12"/>
      <c r="J9" s="7" t="s">
        <v>207</v>
      </c>
      <c r="M9" s="7"/>
      <c r="N9" s="9"/>
    </row>
    <row r="10" spans="1:14" s="8" customFormat="1" ht="34" customHeight="1" x14ac:dyDescent="0.2">
      <c r="A10" s="10">
        <v>2</v>
      </c>
      <c r="B10" s="7" t="s">
        <v>73</v>
      </c>
      <c r="C10" s="7" t="str">
        <f t="shared" si="0"/>
        <v>2-Defensa</v>
      </c>
      <c r="D10" s="11">
        <v>2.1</v>
      </c>
      <c r="E10" s="7" t="s">
        <v>4</v>
      </c>
      <c r="F10" s="7" t="str">
        <f t="shared" si="1"/>
        <v>2,1-Defensa militar</v>
      </c>
      <c r="G10" s="7" t="s">
        <v>143</v>
      </c>
      <c r="H10" s="12" t="s">
        <v>215</v>
      </c>
      <c r="J10" s="7" t="s">
        <v>154</v>
      </c>
      <c r="M10" s="7"/>
      <c r="N10" s="9"/>
    </row>
    <row r="11" spans="1:14" s="8" customFormat="1" ht="34" customHeight="1" x14ac:dyDescent="0.2">
      <c r="A11" s="10">
        <v>2</v>
      </c>
      <c r="B11" s="7" t="s">
        <v>73</v>
      </c>
      <c r="C11" s="7" t="str">
        <f t="shared" si="0"/>
        <v>2-Defensa</v>
      </c>
      <c r="D11" s="11">
        <v>2.2000000000000002</v>
      </c>
      <c r="E11" s="7" t="s">
        <v>5</v>
      </c>
      <c r="F11" s="7" t="str">
        <f t="shared" si="1"/>
        <v>2,2-Defensa civil</v>
      </c>
      <c r="G11" s="7" t="s">
        <v>142</v>
      </c>
      <c r="H11" s="12" t="s">
        <v>215</v>
      </c>
      <c r="J11" s="7" t="s">
        <v>155</v>
      </c>
      <c r="M11" s="7"/>
      <c r="N11" s="9"/>
    </row>
    <row r="12" spans="1:14" s="8" customFormat="1" ht="34" customHeight="1" x14ac:dyDescent="0.2">
      <c r="A12" s="10">
        <v>2</v>
      </c>
      <c r="B12" s="7" t="s">
        <v>73</v>
      </c>
      <c r="C12" s="7" t="str">
        <f t="shared" si="0"/>
        <v>2-Defensa</v>
      </c>
      <c r="D12" s="11">
        <v>2.2999999999999998</v>
      </c>
      <c r="E12" s="7" t="s">
        <v>22</v>
      </c>
      <c r="F12" s="7" t="str">
        <f t="shared" si="1"/>
        <v>2,3-Ayuda militar al exterior</v>
      </c>
      <c r="G12" s="7" t="s">
        <v>141</v>
      </c>
      <c r="H12" s="12" t="s">
        <v>220</v>
      </c>
      <c r="J12" s="7" t="s">
        <v>156</v>
      </c>
      <c r="N12" s="9"/>
    </row>
    <row r="13" spans="1:14" s="8" customFormat="1" ht="34" customHeight="1" x14ac:dyDescent="0.2">
      <c r="A13" s="10">
        <v>2</v>
      </c>
      <c r="B13" s="7" t="s">
        <v>73</v>
      </c>
      <c r="C13" s="7" t="str">
        <f t="shared" si="0"/>
        <v>2-Defensa</v>
      </c>
      <c r="D13" s="11">
        <v>2.4</v>
      </c>
      <c r="E13" s="7" t="s">
        <v>23</v>
      </c>
      <c r="F13" s="7" t="str">
        <f t="shared" si="1"/>
        <v>2,4-I+D relacionada con la defensa</v>
      </c>
      <c r="G13" s="7" t="s">
        <v>140</v>
      </c>
      <c r="H13" s="12" t="s">
        <v>219</v>
      </c>
      <c r="I13" s="12"/>
      <c r="J13" s="7" t="s">
        <v>157</v>
      </c>
      <c r="N13" s="9"/>
    </row>
    <row r="14" spans="1:14" s="8" customFormat="1" ht="34" customHeight="1" x14ac:dyDescent="0.2">
      <c r="A14" s="10">
        <v>2</v>
      </c>
      <c r="B14" s="7" t="s">
        <v>73</v>
      </c>
      <c r="C14" s="7" t="str">
        <f t="shared" si="0"/>
        <v>2-Defensa</v>
      </c>
      <c r="D14" s="11">
        <v>2.5</v>
      </c>
      <c r="E14" s="7" t="s">
        <v>24</v>
      </c>
      <c r="F14" s="7" t="str">
        <f t="shared" si="1"/>
        <v>2,5-Defensa n.c.o.p.</v>
      </c>
      <c r="G14" s="7" t="s">
        <v>139</v>
      </c>
      <c r="H14" s="12" t="s">
        <v>219</v>
      </c>
      <c r="J14" s="7" t="s">
        <v>158</v>
      </c>
      <c r="N14" s="9"/>
    </row>
    <row r="15" spans="1:14" s="8" customFormat="1" ht="34" customHeight="1" x14ac:dyDescent="0.2">
      <c r="A15" s="10">
        <v>3</v>
      </c>
      <c r="B15" s="7" t="s">
        <v>74</v>
      </c>
      <c r="C15" s="7" t="str">
        <f t="shared" si="0"/>
        <v>3-Orden público y seguridad</v>
      </c>
      <c r="D15" s="11">
        <v>3.1</v>
      </c>
      <c r="E15" s="7" t="s">
        <v>25</v>
      </c>
      <c r="F15" s="7" t="str">
        <f t="shared" si="1"/>
        <v>3,1-Servicios de policía</v>
      </c>
      <c r="G15" s="7" t="s">
        <v>138</v>
      </c>
      <c r="H15" s="12" t="s">
        <v>215</v>
      </c>
      <c r="J15" s="7" t="s">
        <v>159</v>
      </c>
      <c r="N15" s="9"/>
    </row>
    <row r="16" spans="1:14" s="8" customFormat="1" ht="34" customHeight="1" x14ac:dyDescent="0.2">
      <c r="A16" s="10">
        <v>3</v>
      </c>
      <c r="B16" s="7" t="s">
        <v>74</v>
      </c>
      <c r="C16" s="7" t="str">
        <f t="shared" si="0"/>
        <v>3-Orden público y seguridad</v>
      </c>
      <c r="D16" s="11">
        <v>3.2</v>
      </c>
      <c r="E16" s="7" t="s">
        <v>26</v>
      </c>
      <c r="F16" s="7" t="str">
        <f t="shared" si="1"/>
        <v>3,2-Servicios de protección contra incendios</v>
      </c>
      <c r="G16" s="7" t="s">
        <v>137</v>
      </c>
      <c r="H16" s="12" t="s">
        <v>215</v>
      </c>
      <c r="J16" s="7" t="s">
        <v>160</v>
      </c>
      <c r="N16" s="9"/>
    </row>
    <row r="17" spans="1:14" s="8" customFormat="1" ht="34" customHeight="1" x14ac:dyDescent="0.2">
      <c r="A17" s="10">
        <v>3</v>
      </c>
      <c r="B17" s="7" t="s">
        <v>74</v>
      </c>
      <c r="C17" s="7" t="str">
        <f t="shared" si="0"/>
        <v>3-Orden público y seguridad</v>
      </c>
      <c r="D17" s="11">
        <v>3.3</v>
      </c>
      <c r="E17" s="7" t="s">
        <v>27</v>
      </c>
      <c r="F17" s="7" t="str">
        <f t="shared" si="1"/>
        <v>3,3-Tribunales de justicia</v>
      </c>
      <c r="G17" s="7" t="s">
        <v>136</v>
      </c>
      <c r="H17" s="12" t="s">
        <v>215</v>
      </c>
      <c r="I17" s="12"/>
      <c r="J17" s="7" t="s">
        <v>161</v>
      </c>
      <c r="N17" s="9"/>
    </row>
    <row r="18" spans="1:14" s="8" customFormat="1" ht="34" customHeight="1" x14ac:dyDescent="0.2">
      <c r="A18" s="10">
        <v>3</v>
      </c>
      <c r="B18" s="7" t="s">
        <v>74</v>
      </c>
      <c r="C18" s="7" t="str">
        <f t="shared" si="0"/>
        <v>3-Orden público y seguridad</v>
      </c>
      <c r="D18" s="11">
        <v>3.4</v>
      </c>
      <c r="E18" s="7" t="s">
        <v>6</v>
      </c>
      <c r="F18" s="7" t="str">
        <f t="shared" si="1"/>
        <v>3,4-Prisiones</v>
      </c>
      <c r="G18" s="7" t="s">
        <v>135</v>
      </c>
      <c r="H18" s="12" t="s">
        <v>215</v>
      </c>
      <c r="I18" s="12"/>
      <c r="J18" s="7" t="s">
        <v>162</v>
      </c>
      <c r="N18" s="9"/>
    </row>
    <row r="19" spans="1:14" s="8" customFormat="1" ht="34" customHeight="1" x14ac:dyDescent="0.2">
      <c r="A19" s="10">
        <v>3</v>
      </c>
      <c r="B19" s="7" t="s">
        <v>74</v>
      </c>
      <c r="C19" s="7" t="str">
        <f t="shared" si="0"/>
        <v>3-Orden público y seguridad</v>
      </c>
      <c r="D19" s="11">
        <v>3.5</v>
      </c>
      <c r="E19" s="7" t="s">
        <v>28</v>
      </c>
      <c r="F19" s="7" t="str">
        <f t="shared" si="1"/>
        <v>3,5-I+D relacionada con el orden público y la seguridad</v>
      </c>
      <c r="G19" s="7" t="s">
        <v>134</v>
      </c>
      <c r="H19" s="12" t="s">
        <v>215</v>
      </c>
      <c r="I19" s="12"/>
      <c r="J19" s="7" t="s">
        <v>163</v>
      </c>
      <c r="N19" s="9"/>
    </row>
    <row r="20" spans="1:14" s="8" customFormat="1" ht="34" customHeight="1" x14ac:dyDescent="0.2">
      <c r="A20" s="10">
        <v>3</v>
      </c>
      <c r="B20" s="7" t="s">
        <v>74</v>
      </c>
      <c r="C20" s="7" t="str">
        <f t="shared" si="0"/>
        <v>3-Orden público y seguridad</v>
      </c>
      <c r="D20" s="11">
        <v>3.6</v>
      </c>
      <c r="E20" s="7" t="s">
        <v>29</v>
      </c>
      <c r="F20" s="7" t="str">
        <f t="shared" si="1"/>
        <v>3,6-Orden público y seguridad n.c.o.p.</v>
      </c>
      <c r="G20" s="7" t="s">
        <v>133</v>
      </c>
      <c r="H20" s="12" t="s">
        <v>215</v>
      </c>
      <c r="I20" s="12"/>
      <c r="J20" s="7" t="s">
        <v>164</v>
      </c>
      <c r="N20" s="9"/>
    </row>
    <row r="21" spans="1:14" s="8" customFormat="1" ht="34" customHeight="1" x14ac:dyDescent="0.2">
      <c r="A21" s="10">
        <v>4</v>
      </c>
      <c r="B21" s="7" t="s">
        <v>75</v>
      </c>
      <c r="C21" s="7" t="str">
        <f t="shared" si="0"/>
        <v>4-Asuntos económicos</v>
      </c>
      <c r="D21" s="11">
        <v>4.0999999999999996</v>
      </c>
      <c r="E21" s="7" t="s">
        <v>30</v>
      </c>
      <c r="F21" s="7" t="str">
        <f t="shared" si="1"/>
        <v>4,1-Asuntos económicos, comerciales y laborales en general</v>
      </c>
      <c r="G21" s="7" t="s">
        <v>226</v>
      </c>
      <c r="H21" s="12" t="s">
        <v>215</v>
      </c>
      <c r="I21" s="12"/>
      <c r="J21" s="7" t="s">
        <v>203</v>
      </c>
      <c r="N21" s="9"/>
    </row>
    <row r="22" spans="1:14" s="8" customFormat="1" ht="34" customHeight="1" x14ac:dyDescent="0.2">
      <c r="A22" s="10">
        <v>4</v>
      </c>
      <c r="B22" s="7" t="s">
        <v>75</v>
      </c>
      <c r="C22" s="7" t="str">
        <f t="shared" si="0"/>
        <v>4-Asuntos económicos</v>
      </c>
      <c r="D22" s="11">
        <v>4.2</v>
      </c>
      <c r="E22" s="7" t="s">
        <v>31</v>
      </c>
      <c r="F22" s="7" t="str">
        <f t="shared" si="1"/>
        <v>4,2-Agricultura, silvicultura, pesca y caza</v>
      </c>
      <c r="G22" s="7" t="s">
        <v>132</v>
      </c>
      <c r="H22" s="12" t="s">
        <v>219</v>
      </c>
      <c r="J22" s="7" t="s">
        <v>165</v>
      </c>
      <c r="N22" s="9"/>
    </row>
    <row r="23" spans="1:14" s="8" customFormat="1" ht="34" customHeight="1" x14ac:dyDescent="0.2">
      <c r="A23" s="10">
        <v>4</v>
      </c>
      <c r="B23" s="7" t="s">
        <v>75</v>
      </c>
      <c r="C23" s="7" t="str">
        <f t="shared" si="0"/>
        <v>4-Asuntos económicos</v>
      </c>
      <c r="D23" s="11">
        <v>4.3</v>
      </c>
      <c r="E23" s="7" t="s">
        <v>32</v>
      </c>
      <c r="F23" s="7" t="str">
        <f t="shared" si="1"/>
        <v>4,3-Combustible y energía</v>
      </c>
      <c r="G23" s="7" t="s">
        <v>131</v>
      </c>
      <c r="H23" s="12" t="s">
        <v>219</v>
      </c>
      <c r="J23" s="7" t="s">
        <v>166</v>
      </c>
      <c r="N23" s="9"/>
    </row>
    <row r="24" spans="1:14" s="8" customFormat="1" ht="34" customHeight="1" x14ac:dyDescent="0.2">
      <c r="A24" s="10">
        <v>4</v>
      </c>
      <c r="B24" s="7" t="s">
        <v>75</v>
      </c>
      <c r="C24" s="7" t="str">
        <f t="shared" si="0"/>
        <v>4-Asuntos económicos</v>
      </c>
      <c r="D24" s="11">
        <v>4.4000000000000004</v>
      </c>
      <c r="E24" s="7" t="s">
        <v>33</v>
      </c>
      <c r="F24" s="7" t="str">
        <f t="shared" si="1"/>
        <v>4,4-Minería, manufacturas y construcción</v>
      </c>
      <c r="G24" s="7" t="s">
        <v>130</v>
      </c>
      <c r="H24" s="12" t="s">
        <v>220</v>
      </c>
      <c r="J24" s="7" t="s">
        <v>167</v>
      </c>
      <c r="N24" s="9"/>
    </row>
    <row r="25" spans="1:14" s="8" customFormat="1" ht="34" customHeight="1" x14ac:dyDescent="0.2">
      <c r="A25" s="10">
        <v>4</v>
      </c>
      <c r="B25" s="7" t="s">
        <v>75</v>
      </c>
      <c r="C25" s="7" t="str">
        <f t="shared" si="0"/>
        <v>4-Asuntos económicos</v>
      </c>
      <c r="D25" s="11">
        <v>4.5</v>
      </c>
      <c r="E25" s="7" t="s">
        <v>8</v>
      </c>
      <c r="F25" s="7" t="str">
        <f t="shared" si="1"/>
        <v>4,5-Transporte</v>
      </c>
      <c r="G25" s="7" t="s">
        <v>129</v>
      </c>
      <c r="H25" s="12" t="s">
        <v>220</v>
      </c>
      <c r="J25" s="7" t="s">
        <v>168</v>
      </c>
      <c r="N25" s="9"/>
    </row>
    <row r="26" spans="1:14" s="8" customFormat="1" ht="34" customHeight="1" x14ac:dyDescent="0.2">
      <c r="A26" s="10">
        <v>4</v>
      </c>
      <c r="B26" s="7" t="s">
        <v>75</v>
      </c>
      <c r="C26" s="7" t="str">
        <f t="shared" si="0"/>
        <v>4-Asuntos económicos</v>
      </c>
      <c r="D26" s="11">
        <v>4.5999999999999996</v>
      </c>
      <c r="E26" s="7" t="s">
        <v>9</v>
      </c>
      <c r="F26" s="7" t="str">
        <f t="shared" si="1"/>
        <v>4,6-Comunicaciones</v>
      </c>
      <c r="G26" s="7" t="s">
        <v>128</v>
      </c>
      <c r="H26" s="12" t="s">
        <v>219</v>
      </c>
      <c r="J26" s="7" t="s">
        <v>169</v>
      </c>
      <c r="N26" s="9"/>
    </row>
    <row r="27" spans="1:14" s="8" customFormat="1" ht="34" customHeight="1" x14ac:dyDescent="0.2">
      <c r="A27" s="10">
        <v>4</v>
      </c>
      <c r="B27" s="7" t="s">
        <v>75</v>
      </c>
      <c r="C27" s="7" t="str">
        <f t="shared" si="0"/>
        <v>4-Asuntos económicos</v>
      </c>
      <c r="D27" s="11">
        <v>4.7</v>
      </c>
      <c r="E27" s="7" t="s">
        <v>34</v>
      </c>
      <c r="F27" s="7" t="str">
        <f t="shared" si="1"/>
        <v>4,7-Otras actividades</v>
      </c>
      <c r="G27" s="7" t="s">
        <v>127</v>
      </c>
      <c r="H27" s="12" t="s">
        <v>220</v>
      </c>
      <c r="J27" s="7" t="s">
        <v>202</v>
      </c>
      <c r="N27" s="9"/>
    </row>
    <row r="28" spans="1:14" s="8" customFormat="1" ht="34" customHeight="1" x14ac:dyDescent="0.2">
      <c r="A28" s="10">
        <v>4</v>
      </c>
      <c r="B28" s="7" t="s">
        <v>75</v>
      </c>
      <c r="C28" s="7" t="str">
        <f t="shared" si="0"/>
        <v>4-Asuntos económicos</v>
      </c>
      <c r="D28" s="11">
        <v>4.8</v>
      </c>
      <c r="E28" s="7" t="s">
        <v>35</v>
      </c>
      <c r="F28" s="7" t="str">
        <f t="shared" si="1"/>
        <v>4,8-I+D relacionada con asuntos económicos</v>
      </c>
      <c r="G28" s="7" t="s">
        <v>126</v>
      </c>
      <c r="H28" s="12" t="s">
        <v>220</v>
      </c>
      <c r="J28" s="7" t="s">
        <v>170</v>
      </c>
      <c r="N28" s="9"/>
    </row>
    <row r="29" spans="1:14" s="8" customFormat="1" ht="34" customHeight="1" x14ac:dyDescent="0.2">
      <c r="A29" s="10">
        <v>4</v>
      </c>
      <c r="B29" s="7" t="s">
        <v>75</v>
      </c>
      <c r="C29" s="7" t="str">
        <f t="shared" si="0"/>
        <v>4-Asuntos económicos</v>
      </c>
      <c r="D29" s="11">
        <v>4.9000000000000004</v>
      </c>
      <c r="E29" s="7" t="s">
        <v>36</v>
      </c>
      <c r="F29" s="7" t="str">
        <f t="shared" si="1"/>
        <v>4,9-Asuntos económicos n.c.o.p.</v>
      </c>
      <c r="G29" s="7" t="s">
        <v>125</v>
      </c>
      <c r="H29" s="12" t="s">
        <v>219</v>
      </c>
      <c r="I29" s="12"/>
      <c r="J29" s="7" t="s">
        <v>171</v>
      </c>
      <c r="N29" s="9"/>
    </row>
    <row r="30" spans="1:14" s="8" customFormat="1" ht="34" customHeight="1" x14ac:dyDescent="0.2">
      <c r="A30" s="10">
        <v>5</v>
      </c>
      <c r="B30" s="7" t="s">
        <v>76</v>
      </c>
      <c r="C30" s="7" t="str">
        <f t="shared" si="0"/>
        <v>5-Protección del medio ambiente</v>
      </c>
      <c r="D30" s="11">
        <v>5.0999999999999996</v>
      </c>
      <c r="E30" s="7" t="s">
        <v>37</v>
      </c>
      <c r="F30" s="7" t="str">
        <f t="shared" si="1"/>
        <v>5,1-Gestión de los residuos</v>
      </c>
      <c r="G30" s="7" t="s">
        <v>124</v>
      </c>
      <c r="H30" s="12" t="s">
        <v>220</v>
      </c>
      <c r="J30" s="7" t="s">
        <v>172</v>
      </c>
      <c r="N30" s="9"/>
    </row>
    <row r="31" spans="1:14" s="8" customFormat="1" ht="34" customHeight="1" x14ac:dyDescent="0.2">
      <c r="A31" s="10">
        <v>5</v>
      </c>
      <c r="B31" s="7" t="s">
        <v>76</v>
      </c>
      <c r="C31" s="7" t="str">
        <f t="shared" si="0"/>
        <v>5-Protección del medio ambiente</v>
      </c>
      <c r="D31" s="11">
        <v>5.2</v>
      </c>
      <c r="E31" s="7" t="s">
        <v>38</v>
      </c>
      <c r="F31" s="7" t="str">
        <f t="shared" si="1"/>
        <v>5,2-Gestión de aguas residuales</v>
      </c>
      <c r="G31" s="7" t="s">
        <v>123</v>
      </c>
      <c r="H31" s="12" t="s">
        <v>220</v>
      </c>
      <c r="J31" s="7" t="s">
        <v>173</v>
      </c>
      <c r="N31" s="9"/>
    </row>
    <row r="32" spans="1:14" s="8" customFormat="1" ht="34" customHeight="1" x14ac:dyDescent="0.2">
      <c r="A32" s="10">
        <v>5</v>
      </c>
      <c r="B32" s="7" t="s">
        <v>76</v>
      </c>
      <c r="C32" s="7" t="str">
        <f t="shared" si="0"/>
        <v>5-Protección del medio ambiente</v>
      </c>
      <c r="D32" s="11">
        <v>5.3</v>
      </c>
      <c r="E32" s="7" t="s">
        <v>39</v>
      </c>
      <c r="F32" s="7" t="str">
        <f t="shared" si="1"/>
        <v>5,3-Reducción de la contaminación</v>
      </c>
      <c r="G32" s="7" t="s">
        <v>122</v>
      </c>
      <c r="H32" s="12" t="s">
        <v>220</v>
      </c>
      <c r="I32" s="12"/>
      <c r="J32" s="7" t="s">
        <v>174</v>
      </c>
      <c r="N32" s="9"/>
    </row>
    <row r="33" spans="1:14" s="8" customFormat="1" ht="34" customHeight="1" x14ac:dyDescent="0.2">
      <c r="A33" s="10">
        <v>5</v>
      </c>
      <c r="B33" s="7" t="s">
        <v>76</v>
      </c>
      <c r="C33" s="7" t="str">
        <f t="shared" si="0"/>
        <v>5-Protección del medio ambiente</v>
      </c>
      <c r="D33" s="11">
        <v>5.4</v>
      </c>
      <c r="E33" s="7" t="s">
        <v>40</v>
      </c>
      <c r="F33" s="7" t="str">
        <f t="shared" si="1"/>
        <v>5,4-Protección de la biodiversidad y del paisaje</v>
      </c>
      <c r="G33" s="7" t="s">
        <v>121</v>
      </c>
      <c r="H33" s="12" t="s">
        <v>220</v>
      </c>
      <c r="I33" s="12"/>
      <c r="J33" s="7" t="s">
        <v>204</v>
      </c>
      <c r="N33" s="9"/>
    </row>
    <row r="34" spans="1:14" s="8" customFormat="1" ht="34" customHeight="1" x14ac:dyDescent="0.2">
      <c r="A34" s="10">
        <v>5</v>
      </c>
      <c r="B34" s="7" t="s">
        <v>76</v>
      </c>
      <c r="C34" s="7" t="str">
        <f t="shared" si="0"/>
        <v>5-Protección del medio ambiente</v>
      </c>
      <c r="D34" s="11">
        <v>5.5</v>
      </c>
      <c r="E34" s="7" t="s">
        <v>41</v>
      </c>
      <c r="F34" s="7" t="str">
        <f t="shared" si="1"/>
        <v>5,5-I+D relacionada con la protección del medio ambiente</v>
      </c>
      <c r="G34" s="7" t="s">
        <v>120</v>
      </c>
      <c r="H34" s="12" t="s">
        <v>220</v>
      </c>
      <c r="J34" s="7" t="s">
        <v>175</v>
      </c>
      <c r="N34" s="9"/>
    </row>
    <row r="35" spans="1:14" s="8" customFormat="1" ht="34" customHeight="1" x14ac:dyDescent="0.2">
      <c r="A35" s="10">
        <v>5</v>
      </c>
      <c r="B35" s="7" t="s">
        <v>76</v>
      </c>
      <c r="C35" s="7" t="str">
        <f t="shared" si="0"/>
        <v>5-Protección del medio ambiente</v>
      </c>
      <c r="D35" s="11">
        <v>5.6</v>
      </c>
      <c r="E35" s="7" t="s">
        <v>42</v>
      </c>
      <c r="F35" s="7" t="str">
        <f t="shared" si="1"/>
        <v>5,6-Protección del medioambiente n.c.o.p.</v>
      </c>
      <c r="G35" s="7" t="s">
        <v>119</v>
      </c>
      <c r="H35" s="12" t="s">
        <v>219</v>
      </c>
      <c r="I35" s="12"/>
      <c r="J35" s="7" t="s">
        <v>218</v>
      </c>
      <c r="N35" s="9"/>
    </row>
    <row r="36" spans="1:14" s="8" customFormat="1" ht="34" customHeight="1" x14ac:dyDescent="0.2">
      <c r="A36" s="10">
        <v>6</v>
      </c>
      <c r="B36" s="7" t="s">
        <v>77</v>
      </c>
      <c r="C36" s="7" t="str">
        <f t="shared" si="0"/>
        <v>6- Vivienda y servicios comunitarios</v>
      </c>
      <c r="D36" s="11">
        <v>6.1</v>
      </c>
      <c r="E36" s="7" t="s">
        <v>43</v>
      </c>
      <c r="F36" s="7" t="str">
        <f t="shared" si="1"/>
        <v>6,1-Urbanismo</v>
      </c>
      <c r="G36" s="7" t="s">
        <v>118</v>
      </c>
      <c r="H36" s="12" t="s">
        <v>219</v>
      </c>
      <c r="I36" s="12"/>
      <c r="J36" s="7" t="s">
        <v>205</v>
      </c>
      <c r="N36" s="9"/>
    </row>
    <row r="37" spans="1:14" s="8" customFormat="1" ht="34" customHeight="1" x14ac:dyDescent="0.2">
      <c r="A37" s="10">
        <v>6</v>
      </c>
      <c r="B37" s="7" t="s">
        <v>77</v>
      </c>
      <c r="C37" s="7" t="str">
        <f t="shared" si="0"/>
        <v>6- Vivienda y servicios comunitarios</v>
      </c>
      <c r="D37" s="11">
        <v>6.2</v>
      </c>
      <c r="E37" s="7" t="s">
        <v>11</v>
      </c>
      <c r="F37" s="7" t="str">
        <f t="shared" si="1"/>
        <v>6,2-Desarrollo comunitario</v>
      </c>
      <c r="G37" s="7" t="s">
        <v>117</v>
      </c>
      <c r="H37" s="12" t="s">
        <v>220</v>
      </c>
      <c r="J37" s="7" t="s">
        <v>176</v>
      </c>
      <c r="N37" s="9"/>
    </row>
    <row r="38" spans="1:14" s="8" customFormat="1" ht="34" customHeight="1" x14ac:dyDescent="0.2">
      <c r="A38" s="10">
        <v>6</v>
      </c>
      <c r="B38" s="7" t="s">
        <v>77</v>
      </c>
      <c r="C38" s="7" t="str">
        <f t="shared" si="0"/>
        <v>6- Vivienda y servicios comunitarios</v>
      </c>
      <c r="D38" s="11">
        <v>6.3</v>
      </c>
      <c r="E38" s="7" t="s">
        <v>44</v>
      </c>
      <c r="F38" s="7" t="str">
        <f t="shared" si="1"/>
        <v>6,3-Abastecimiento de agua</v>
      </c>
      <c r="G38" s="7" t="s">
        <v>116</v>
      </c>
      <c r="H38" s="12" t="s">
        <v>220</v>
      </c>
      <c r="J38" s="7" t="s">
        <v>177</v>
      </c>
      <c r="N38" s="9"/>
    </row>
    <row r="39" spans="1:14" s="8" customFormat="1" ht="34" customHeight="1" x14ac:dyDescent="0.2">
      <c r="A39" s="10">
        <v>6</v>
      </c>
      <c r="B39" s="7" t="s">
        <v>77</v>
      </c>
      <c r="C39" s="7" t="str">
        <f t="shared" si="0"/>
        <v>6- Vivienda y servicios comunitarios</v>
      </c>
      <c r="D39" s="11">
        <v>6.4</v>
      </c>
      <c r="E39" s="7" t="s">
        <v>45</v>
      </c>
      <c r="F39" s="7" t="str">
        <f t="shared" si="1"/>
        <v>6,4-Alumbrado público</v>
      </c>
      <c r="G39" s="7" t="s">
        <v>115</v>
      </c>
      <c r="H39" s="12" t="s">
        <v>220</v>
      </c>
      <c r="I39" s="12"/>
      <c r="J39" s="7" t="s">
        <v>206</v>
      </c>
      <c r="N39" s="9"/>
    </row>
    <row r="40" spans="1:14" s="8" customFormat="1" ht="34" customHeight="1" x14ac:dyDescent="0.2">
      <c r="A40" s="10">
        <v>6</v>
      </c>
      <c r="B40" s="7" t="s">
        <v>77</v>
      </c>
      <c r="C40" s="7" t="str">
        <f t="shared" si="0"/>
        <v>6- Vivienda y servicios comunitarios</v>
      </c>
      <c r="D40" s="11">
        <v>6.5</v>
      </c>
      <c r="E40" s="7" t="s">
        <v>46</v>
      </c>
      <c r="F40" s="7" t="str">
        <f t="shared" si="1"/>
        <v>6,5-I+D relacionada con la vivienda y los servicios comunitarios</v>
      </c>
      <c r="G40" s="7" t="s">
        <v>114</v>
      </c>
      <c r="H40" s="12" t="s">
        <v>220</v>
      </c>
      <c r="J40" s="7" t="s">
        <v>178</v>
      </c>
      <c r="N40" s="9"/>
    </row>
    <row r="41" spans="1:14" s="8" customFormat="1" ht="34" customHeight="1" x14ac:dyDescent="0.2">
      <c r="A41" s="10">
        <v>6</v>
      </c>
      <c r="B41" s="7" t="s">
        <v>77</v>
      </c>
      <c r="C41" s="7" t="str">
        <f t="shared" si="0"/>
        <v>6- Vivienda y servicios comunitarios</v>
      </c>
      <c r="D41" s="11">
        <v>6.6</v>
      </c>
      <c r="E41" s="7" t="s">
        <v>47</v>
      </c>
      <c r="F41" s="7" t="str">
        <f t="shared" si="1"/>
        <v>6,6-Vivienda y servicios comunitarios n.c.o.p.</v>
      </c>
      <c r="G41" s="7" t="s">
        <v>113</v>
      </c>
      <c r="H41" s="12" t="s">
        <v>219</v>
      </c>
      <c r="J41" s="7" t="s">
        <v>179</v>
      </c>
      <c r="N41" s="9"/>
    </row>
    <row r="42" spans="1:14" s="8" customFormat="1" ht="34" customHeight="1" x14ac:dyDescent="0.2">
      <c r="A42" s="10">
        <v>7</v>
      </c>
      <c r="B42" s="7" t="s">
        <v>78</v>
      </c>
      <c r="C42" s="7" t="str">
        <f t="shared" si="0"/>
        <v>7-Salud</v>
      </c>
      <c r="D42" s="11">
        <v>7.1</v>
      </c>
      <c r="E42" s="7" t="s">
        <v>48</v>
      </c>
      <c r="F42" s="7" t="str">
        <f t="shared" si="1"/>
        <v>7,1-Medicamentos y otros productos farmacéuticos, aparatos y material terapéutico</v>
      </c>
      <c r="G42" s="7" t="s">
        <v>112</v>
      </c>
      <c r="H42" s="12" t="s">
        <v>216</v>
      </c>
      <c r="J42" s="7" t="s">
        <v>180</v>
      </c>
      <c r="N42" s="9"/>
    </row>
    <row r="43" spans="1:14" s="8" customFormat="1" ht="34" customHeight="1" x14ac:dyDescent="0.2">
      <c r="A43" s="10">
        <v>7</v>
      </c>
      <c r="B43" s="7" t="s">
        <v>78</v>
      </c>
      <c r="C43" s="7" t="str">
        <f t="shared" si="0"/>
        <v>7-Salud</v>
      </c>
      <c r="D43" s="11">
        <v>7.2</v>
      </c>
      <c r="E43" s="7" t="s">
        <v>12</v>
      </c>
      <c r="F43" s="7" t="str">
        <f t="shared" si="1"/>
        <v>7,2-Servicios ambulatorios</v>
      </c>
      <c r="G43" s="7" t="s">
        <v>111</v>
      </c>
      <c r="H43" s="12" t="s">
        <v>216</v>
      </c>
      <c r="J43" s="7" t="s">
        <v>181</v>
      </c>
      <c r="N43" s="9"/>
    </row>
    <row r="44" spans="1:14" s="8" customFormat="1" ht="34" customHeight="1" x14ac:dyDescent="0.2">
      <c r="A44" s="10">
        <v>7</v>
      </c>
      <c r="B44" s="7" t="s">
        <v>78</v>
      </c>
      <c r="C44" s="7" t="str">
        <f t="shared" si="0"/>
        <v>7-Salud</v>
      </c>
      <c r="D44" s="11">
        <v>7.3</v>
      </c>
      <c r="E44" s="7" t="s">
        <v>49</v>
      </c>
      <c r="F44" s="7" t="str">
        <f t="shared" si="1"/>
        <v>7,3-Servicios hospitalarios</v>
      </c>
      <c r="G44" s="7" t="s">
        <v>110</v>
      </c>
      <c r="H44" s="12" t="s">
        <v>216</v>
      </c>
      <c r="J44" s="7" t="s">
        <v>182</v>
      </c>
      <c r="N44" s="9"/>
    </row>
    <row r="45" spans="1:14" s="8" customFormat="1" ht="34" customHeight="1" x14ac:dyDescent="0.2">
      <c r="A45" s="10">
        <v>7</v>
      </c>
      <c r="B45" s="7" t="s">
        <v>78</v>
      </c>
      <c r="C45" s="7" t="str">
        <f t="shared" si="0"/>
        <v>7-Salud</v>
      </c>
      <c r="D45" s="11">
        <v>7.4</v>
      </c>
      <c r="E45" s="7" t="s">
        <v>50</v>
      </c>
      <c r="F45" s="7" t="str">
        <f t="shared" si="1"/>
        <v>7,4-Servicios de salud pública</v>
      </c>
      <c r="G45" s="7" t="s">
        <v>109</v>
      </c>
      <c r="H45" s="12" t="s">
        <v>216</v>
      </c>
      <c r="J45" s="7" t="s">
        <v>183</v>
      </c>
      <c r="N45" s="9"/>
    </row>
    <row r="46" spans="1:14" s="8" customFormat="1" ht="34" customHeight="1" x14ac:dyDescent="0.2">
      <c r="A46" s="10">
        <v>7</v>
      </c>
      <c r="B46" s="7" t="s">
        <v>78</v>
      </c>
      <c r="C46" s="7" t="str">
        <f t="shared" si="0"/>
        <v>7-Salud</v>
      </c>
      <c r="D46" s="11">
        <v>7.5</v>
      </c>
      <c r="E46" s="7" t="s">
        <v>51</v>
      </c>
      <c r="F46" s="7" t="str">
        <f t="shared" si="1"/>
        <v>7,5-I+D relacionada con la salud</v>
      </c>
      <c r="G46" s="7" t="s">
        <v>108</v>
      </c>
      <c r="H46" s="12" t="s">
        <v>216</v>
      </c>
      <c r="I46" s="12"/>
      <c r="J46" s="7" t="s">
        <v>184</v>
      </c>
      <c r="N46" s="9"/>
    </row>
    <row r="47" spans="1:14" s="8" customFormat="1" ht="34" customHeight="1" x14ac:dyDescent="0.2">
      <c r="A47" s="10">
        <v>7</v>
      </c>
      <c r="B47" s="7" t="s">
        <v>78</v>
      </c>
      <c r="C47" s="7" t="str">
        <f t="shared" si="0"/>
        <v>7-Salud</v>
      </c>
      <c r="D47" s="11">
        <v>7.6</v>
      </c>
      <c r="E47" s="7" t="s">
        <v>52</v>
      </c>
      <c r="F47" s="7" t="str">
        <f t="shared" si="1"/>
        <v>7,6-Salud n.c.o.p.</v>
      </c>
      <c r="G47" s="7" t="s">
        <v>107</v>
      </c>
      <c r="H47" s="12" t="s">
        <v>216</v>
      </c>
      <c r="I47" s="12"/>
      <c r="J47" s="7" t="s">
        <v>185</v>
      </c>
      <c r="N47" s="9"/>
    </row>
    <row r="48" spans="1:14" s="8" customFormat="1" ht="34" customHeight="1" x14ac:dyDescent="0.2">
      <c r="A48" s="10">
        <v>8</v>
      </c>
      <c r="B48" s="7" t="s">
        <v>79</v>
      </c>
      <c r="C48" s="7" t="str">
        <f t="shared" si="0"/>
        <v>8-Ocio, cultura y religión</v>
      </c>
      <c r="D48" s="11">
        <v>8.1</v>
      </c>
      <c r="E48" s="7" t="s">
        <v>53</v>
      </c>
      <c r="F48" s="7" t="str">
        <f t="shared" si="1"/>
        <v>8,1-Servicios recreativos y deportivos</v>
      </c>
      <c r="G48" s="7" t="s">
        <v>106</v>
      </c>
      <c r="H48" s="12" t="s">
        <v>220</v>
      </c>
      <c r="J48" s="7" t="s">
        <v>186</v>
      </c>
      <c r="N48" s="9"/>
    </row>
    <row r="49" spans="1:14" s="8" customFormat="1" ht="34" customHeight="1" x14ac:dyDescent="0.2">
      <c r="A49" s="10">
        <v>8</v>
      </c>
      <c r="B49" s="7" t="s">
        <v>79</v>
      </c>
      <c r="C49" s="7" t="str">
        <f t="shared" si="0"/>
        <v>8-Ocio, cultura y religión</v>
      </c>
      <c r="D49" s="11">
        <v>8.1999999999999993</v>
      </c>
      <c r="E49" s="7" t="s">
        <v>54</v>
      </c>
      <c r="F49" s="7" t="str">
        <f t="shared" si="1"/>
        <v>8,2-Servicios culturales</v>
      </c>
      <c r="G49" s="7" t="s">
        <v>105</v>
      </c>
      <c r="H49" s="12" t="s">
        <v>220</v>
      </c>
      <c r="J49" s="7" t="s">
        <v>187</v>
      </c>
      <c r="N49" s="9"/>
    </row>
    <row r="50" spans="1:14" s="8" customFormat="1" ht="34" customHeight="1" x14ac:dyDescent="0.2">
      <c r="A50" s="10">
        <v>8</v>
      </c>
      <c r="B50" s="7" t="s">
        <v>79</v>
      </c>
      <c r="C50" s="7" t="str">
        <f t="shared" si="0"/>
        <v>8-Ocio, cultura y religión</v>
      </c>
      <c r="D50" s="11">
        <v>8.3000000000000007</v>
      </c>
      <c r="E50" s="7" t="s">
        <v>55</v>
      </c>
      <c r="F50" s="7" t="str">
        <f t="shared" si="1"/>
        <v>8,3-Servicios de radio y televisión y servicios editoriales</v>
      </c>
      <c r="G50" s="7" t="s">
        <v>104</v>
      </c>
      <c r="H50" s="12" t="s">
        <v>220</v>
      </c>
      <c r="J50" s="7" t="s">
        <v>188</v>
      </c>
      <c r="N50" s="9"/>
    </row>
    <row r="51" spans="1:14" s="8" customFormat="1" ht="34" customHeight="1" x14ac:dyDescent="0.2">
      <c r="A51" s="10">
        <v>8</v>
      </c>
      <c r="B51" s="7" t="s">
        <v>79</v>
      </c>
      <c r="C51" s="7" t="str">
        <f t="shared" si="0"/>
        <v>8-Ocio, cultura y religión</v>
      </c>
      <c r="D51" s="11">
        <v>8.4</v>
      </c>
      <c r="E51" s="7" t="s">
        <v>56</v>
      </c>
      <c r="F51" s="7" t="str">
        <f t="shared" si="1"/>
        <v>8,4-Servicios religiosos y otros servicios comunitarios</v>
      </c>
      <c r="G51" s="7" t="s">
        <v>103</v>
      </c>
      <c r="H51" s="12" t="s">
        <v>220</v>
      </c>
      <c r="J51" s="7" t="s">
        <v>189</v>
      </c>
      <c r="N51" s="9"/>
    </row>
    <row r="52" spans="1:14" s="8" customFormat="1" ht="34" customHeight="1" x14ac:dyDescent="0.2">
      <c r="A52" s="10">
        <v>8</v>
      </c>
      <c r="B52" s="7" t="s">
        <v>79</v>
      </c>
      <c r="C52" s="7" t="str">
        <f t="shared" si="0"/>
        <v>8-Ocio, cultura y religión</v>
      </c>
      <c r="D52" s="11">
        <v>8.5</v>
      </c>
      <c r="E52" s="7" t="s">
        <v>57</v>
      </c>
      <c r="F52" s="7" t="str">
        <f t="shared" si="1"/>
        <v>8,5-I+D relacionada con el esparcimiento, la cultura y la religión</v>
      </c>
      <c r="G52" s="7" t="s">
        <v>102</v>
      </c>
      <c r="H52" s="12" t="s">
        <v>220</v>
      </c>
      <c r="J52" s="7" t="s">
        <v>7</v>
      </c>
      <c r="N52" s="9"/>
    </row>
    <row r="53" spans="1:14" s="8" customFormat="1" ht="34" customHeight="1" x14ac:dyDescent="0.2">
      <c r="A53" s="10">
        <v>8</v>
      </c>
      <c r="B53" s="7" t="s">
        <v>79</v>
      </c>
      <c r="C53" s="7" t="str">
        <f t="shared" si="0"/>
        <v>8-Ocio, cultura y religión</v>
      </c>
      <c r="D53" s="11">
        <v>8.6</v>
      </c>
      <c r="E53" s="7" t="s">
        <v>58</v>
      </c>
      <c r="F53" s="7" t="str">
        <f t="shared" si="1"/>
        <v>8,6-Actividades recreativas, cultura y religión n.c.o.p.</v>
      </c>
      <c r="G53" s="7" t="s">
        <v>101</v>
      </c>
      <c r="H53" s="12" t="s">
        <v>219</v>
      </c>
      <c r="J53" s="7" t="s">
        <v>190</v>
      </c>
      <c r="N53" s="9"/>
    </row>
    <row r="54" spans="1:14" s="8" customFormat="1" ht="34" customHeight="1" x14ac:dyDescent="0.2">
      <c r="A54" s="10">
        <v>9</v>
      </c>
      <c r="B54" s="7" t="s">
        <v>80</v>
      </c>
      <c r="C54" s="7" t="str">
        <f t="shared" si="0"/>
        <v>9-Educación</v>
      </c>
      <c r="D54" s="11">
        <v>9.1</v>
      </c>
      <c r="E54" s="7" t="s">
        <v>59</v>
      </c>
      <c r="F54" s="7" t="str">
        <f t="shared" si="1"/>
        <v>9,1-Educación preescolar y primaria</v>
      </c>
      <c r="G54" s="7" t="s">
        <v>100</v>
      </c>
      <c r="H54" s="12" t="s">
        <v>216</v>
      </c>
      <c r="J54" s="7" t="s">
        <v>191</v>
      </c>
      <c r="N54" s="9"/>
    </row>
    <row r="55" spans="1:14" s="8" customFormat="1" ht="34" customHeight="1" x14ac:dyDescent="0.2">
      <c r="A55" s="10">
        <v>9</v>
      </c>
      <c r="B55" s="7" t="s">
        <v>80</v>
      </c>
      <c r="C55" s="7" t="str">
        <f t="shared" si="0"/>
        <v>9-Educación</v>
      </c>
      <c r="D55" s="11">
        <v>9.1999999999999993</v>
      </c>
      <c r="E55" s="7" t="s">
        <v>60</v>
      </c>
      <c r="F55" s="7" t="str">
        <f t="shared" si="1"/>
        <v>9,2-Educación secundaria</v>
      </c>
      <c r="G55" s="7" t="s">
        <v>99</v>
      </c>
      <c r="H55" s="12" t="s">
        <v>216</v>
      </c>
      <c r="J55" s="7" t="s">
        <v>192</v>
      </c>
      <c r="N55" s="9"/>
    </row>
    <row r="56" spans="1:14" s="8" customFormat="1" ht="34" customHeight="1" x14ac:dyDescent="0.2">
      <c r="A56" s="10">
        <v>9</v>
      </c>
      <c r="B56" s="7" t="s">
        <v>80</v>
      </c>
      <c r="C56" s="7" t="str">
        <f t="shared" si="0"/>
        <v>9-Educación</v>
      </c>
      <c r="D56" s="11">
        <v>9.3000000000000007</v>
      </c>
      <c r="E56" s="7" t="s">
        <v>61</v>
      </c>
      <c r="F56" s="7" t="str">
        <f t="shared" si="1"/>
        <v>9,3-Educación postsecundaria no terciaria</v>
      </c>
      <c r="G56" s="7" t="s">
        <v>98</v>
      </c>
      <c r="H56" s="12" t="s">
        <v>216</v>
      </c>
      <c r="J56" s="7" t="s">
        <v>193</v>
      </c>
      <c r="N56" s="9"/>
    </row>
    <row r="57" spans="1:14" s="8" customFormat="1" ht="34" customHeight="1" x14ac:dyDescent="0.2">
      <c r="A57" s="10">
        <v>9</v>
      </c>
      <c r="B57" s="7" t="s">
        <v>80</v>
      </c>
      <c r="C57" s="7" t="str">
        <f t="shared" si="0"/>
        <v>9-Educación</v>
      </c>
      <c r="D57" s="11">
        <v>9.4</v>
      </c>
      <c r="E57" s="7" t="s">
        <v>62</v>
      </c>
      <c r="F57" s="7" t="str">
        <f t="shared" si="1"/>
        <v>9,4-Educación terciaria</v>
      </c>
      <c r="G57" s="7" t="s">
        <v>97</v>
      </c>
      <c r="H57" s="12" t="s">
        <v>216</v>
      </c>
      <c r="J57" s="7" t="s">
        <v>194</v>
      </c>
      <c r="N57" s="9"/>
    </row>
    <row r="58" spans="1:14" s="8" customFormat="1" ht="34" customHeight="1" x14ac:dyDescent="0.2">
      <c r="A58" s="10">
        <v>9</v>
      </c>
      <c r="B58" s="7" t="s">
        <v>80</v>
      </c>
      <c r="C58" s="7" t="str">
        <f t="shared" si="0"/>
        <v>9-Educación</v>
      </c>
      <c r="D58" s="11">
        <v>9.5</v>
      </c>
      <c r="E58" s="7" t="s">
        <v>63</v>
      </c>
      <c r="F58" s="7" t="str">
        <f t="shared" si="1"/>
        <v>9,5-Educación no atribuible a ningún nivel</v>
      </c>
      <c r="G58" s="7" t="s">
        <v>96</v>
      </c>
      <c r="H58" s="12" t="s">
        <v>216</v>
      </c>
      <c r="J58" s="7" t="s">
        <v>195</v>
      </c>
      <c r="N58" s="9"/>
    </row>
    <row r="59" spans="1:14" s="8" customFormat="1" ht="34" customHeight="1" x14ac:dyDescent="0.2">
      <c r="A59" s="10">
        <v>9</v>
      </c>
      <c r="B59" s="7" t="s">
        <v>80</v>
      </c>
      <c r="C59" s="7" t="str">
        <f t="shared" si="0"/>
        <v>9-Educación</v>
      </c>
      <c r="D59" s="11">
        <v>9.6</v>
      </c>
      <c r="E59" s="7" t="s">
        <v>64</v>
      </c>
      <c r="F59" s="7" t="str">
        <f t="shared" si="1"/>
        <v>9,6-Servicios auxiliares de la educación</v>
      </c>
      <c r="G59" s="7" t="s">
        <v>95</v>
      </c>
      <c r="H59" s="12" t="s">
        <v>216</v>
      </c>
      <c r="I59" s="12"/>
      <c r="J59" s="7" t="s">
        <v>208</v>
      </c>
      <c r="N59" s="9"/>
    </row>
    <row r="60" spans="1:14" s="8" customFormat="1" ht="34" customHeight="1" x14ac:dyDescent="0.2">
      <c r="A60" s="10">
        <v>9</v>
      </c>
      <c r="B60" s="7" t="s">
        <v>80</v>
      </c>
      <c r="C60" s="7" t="str">
        <f t="shared" si="0"/>
        <v>9-Educación</v>
      </c>
      <c r="D60" s="11">
        <v>9.6999999999999993</v>
      </c>
      <c r="E60" s="7" t="s">
        <v>65</v>
      </c>
      <c r="F60" s="7" t="str">
        <f t="shared" si="1"/>
        <v>9,7-I+D relacionada con la educación</v>
      </c>
      <c r="G60" s="7" t="s">
        <v>94</v>
      </c>
      <c r="H60" s="12" t="s">
        <v>216</v>
      </c>
      <c r="I60" s="12"/>
      <c r="J60" s="7" t="s">
        <v>196</v>
      </c>
      <c r="N60" s="9"/>
    </row>
    <row r="61" spans="1:14" s="8" customFormat="1" ht="34" customHeight="1" x14ac:dyDescent="0.2">
      <c r="A61" s="10">
        <v>9</v>
      </c>
      <c r="B61" s="7" t="s">
        <v>80</v>
      </c>
      <c r="C61" s="7" t="str">
        <f t="shared" si="0"/>
        <v>9-Educación</v>
      </c>
      <c r="D61" s="11">
        <v>9.8000000000000007</v>
      </c>
      <c r="E61" s="7" t="s">
        <v>66</v>
      </c>
      <c r="F61" s="7" t="str">
        <f t="shared" si="1"/>
        <v>9,8-Educación n.c.o.p.</v>
      </c>
      <c r="G61" s="7" t="s">
        <v>93</v>
      </c>
      <c r="H61" s="12" t="s">
        <v>216</v>
      </c>
      <c r="I61" s="12"/>
      <c r="J61" s="7" t="s">
        <v>197</v>
      </c>
      <c r="N61" s="9"/>
    </row>
    <row r="62" spans="1:14" s="8" customFormat="1" ht="34" customHeight="1" x14ac:dyDescent="0.2">
      <c r="A62" s="10">
        <v>10</v>
      </c>
      <c r="B62" s="7" t="s">
        <v>230</v>
      </c>
      <c r="C62" s="7" t="str">
        <f t="shared" si="0"/>
        <v>10-Protección social(sin pensiones)</v>
      </c>
      <c r="D62" s="11">
        <v>10.1</v>
      </c>
      <c r="E62" s="7" t="s">
        <v>67</v>
      </c>
      <c r="F62" s="7" t="str">
        <f t="shared" si="1"/>
        <v>10,1-Enfermedad e incapacidad</v>
      </c>
      <c r="G62" s="7" t="s">
        <v>92</v>
      </c>
      <c r="H62" s="12" t="s">
        <v>216</v>
      </c>
      <c r="J62" s="7" t="s">
        <v>214</v>
      </c>
      <c r="N62" s="9"/>
    </row>
    <row r="63" spans="1:14" s="8" customFormat="1" ht="34" customHeight="1" x14ac:dyDescent="0.2">
      <c r="A63" s="10" t="s">
        <v>229</v>
      </c>
      <c r="B63" s="7" t="s">
        <v>227</v>
      </c>
      <c r="C63" s="7" t="str">
        <f t="shared" si="0"/>
        <v>10.2-Protección social (pensiones)</v>
      </c>
      <c r="D63" s="11">
        <v>10.199999999999999</v>
      </c>
      <c r="E63" s="7" t="s">
        <v>228</v>
      </c>
      <c r="F63" s="7" t="str">
        <f t="shared" si="1"/>
        <v>10,2-Edad avanzada(pensiones)</v>
      </c>
      <c r="G63" s="7" t="s">
        <v>91</v>
      </c>
      <c r="H63" s="12" t="s">
        <v>220</v>
      </c>
      <c r="J63" s="7" t="s">
        <v>209</v>
      </c>
      <c r="N63" s="9"/>
    </row>
    <row r="64" spans="1:14" s="8" customFormat="1" ht="34" customHeight="1" x14ac:dyDescent="0.2">
      <c r="A64" s="10">
        <v>10</v>
      </c>
      <c r="B64" s="7" t="s">
        <v>230</v>
      </c>
      <c r="C64" s="7" t="str">
        <f t="shared" si="0"/>
        <v>10-Protección social(sin pensiones)</v>
      </c>
      <c r="D64" s="11">
        <v>10.3</v>
      </c>
      <c r="E64" s="7" t="s">
        <v>68</v>
      </c>
      <c r="F64" s="7" t="str">
        <f t="shared" si="1"/>
        <v>10,3-Supérstites</v>
      </c>
      <c r="G64" s="7" t="s">
        <v>90</v>
      </c>
      <c r="H64" s="12" t="s">
        <v>220</v>
      </c>
      <c r="J64" s="7" t="s">
        <v>198</v>
      </c>
      <c r="N64" s="9"/>
    </row>
    <row r="65" spans="1:14" s="8" customFormat="1" ht="34" customHeight="1" x14ac:dyDescent="0.2">
      <c r="A65" s="10">
        <v>10</v>
      </c>
      <c r="B65" s="7" t="s">
        <v>230</v>
      </c>
      <c r="C65" s="7" t="str">
        <f t="shared" si="0"/>
        <v>10-Protección social(sin pensiones)</v>
      </c>
      <c r="D65" s="11">
        <v>10.4</v>
      </c>
      <c r="E65" s="7" t="s">
        <v>13</v>
      </c>
      <c r="F65" s="7" t="str">
        <f t="shared" si="1"/>
        <v>10,4-Familia e hijos</v>
      </c>
      <c r="G65" s="7" t="s">
        <v>89</v>
      </c>
      <c r="H65" s="12" t="s">
        <v>220</v>
      </c>
      <c r="J65" s="7" t="s">
        <v>199</v>
      </c>
      <c r="N65" s="9"/>
    </row>
    <row r="66" spans="1:14" s="8" customFormat="1" ht="34" customHeight="1" x14ac:dyDescent="0.2">
      <c r="A66" s="10">
        <v>10</v>
      </c>
      <c r="B66" s="7" t="s">
        <v>230</v>
      </c>
      <c r="C66" s="7" t="str">
        <f t="shared" si="0"/>
        <v>10-Protección social(sin pensiones)</v>
      </c>
      <c r="D66" s="11">
        <v>10.5</v>
      </c>
      <c r="E66" s="7" t="s">
        <v>14</v>
      </c>
      <c r="F66" s="7" t="str">
        <f t="shared" si="1"/>
        <v>10,5-Desempleo</v>
      </c>
      <c r="G66" s="7" t="s">
        <v>88</v>
      </c>
      <c r="H66" s="12" t="s">
        <v>220</v>
      </c>
      <c r="J66" s="7" t="s">
        <v>200</v>
      </c>
      <c r="N66" s="9"/>
    </row>
    <row r="67" spans="1:14" s="8" customFormat="1" ht="34" customHeight="1" x14ac:dyDescent="0.2">
      <c r="A67" s="10">
        <v>10</v>
      </c>
      <c r="B67" s="7" t="s">
        <v>230</v>
      </c>
      <c r="C67" s="7" t="str">
        <f t="shared" ref="C67:C70" si="2">+CONCATENATE(A67,"-",B67)</f>
        <v>10-Protección social(sin pensiones)</v>
      </c>
      <c r="D67" s="11">
        <v>10.6</v>
      </c>
      <c r="E67" s="7" t="s">
        <v>10</v>
      </c>
      <c r="F67" s="7" t="str">
        <f t="shared" ref="F67:F70" si="3">+CONCATENATE(D67,"-",E67)</f>
        <v>10,6-Vivienda</v>
      </c>
      <c r="G67" s="7" t="s">
        <v>87</v>
      </c>
      <c r="H67" s="12" t="s">
        <v>220</v>
      </c>
      <c r="J67" s="7" t="s">
        <v>201</v>
      </c>
      <c r="N67" s="9"/>
    </row>
    <row r="68" spans="1:14" s="8" customFormat="1" ht="34" customHeight="1" x14ac:dyDescent="0.2">
      <c r="A68" s="10">
        <v>10</v>
      </c>
      <c r="B68" s="7" t="s">
        <v>230</v>
      </c>
      <c r="C68" s="7" t="str">
        <f t="shared" si="2"/>
        <v>10-Protección social(sin pensiones)</v>
      </c>
      <c r="D68" s="11">
        <v>10.7</v>
      </c>
      <c r="E68" s="7" t="s">
        <v>69</v>
      </c>
      <c r="F68" s="7" t="str">
        <f t="shared" si="3"/>
        <v>10,7-Exclusión social n.c.o.p.</v>
      </c>
      <c r="G68" s="7" t="s">
        <v>86</v>
      </c>
      <c r="H68" s="12" t="s">
        <v>216</v>
      </c>
      <c r="J68" s="7" t="s">
        <v>217</v>
      </c>
      <c r="N68" s="9"/>
    </row>
    <row r="69" spans="1:14" s="8" customFormat="1" ht="34" customHeight="1" x14ac:dyDescent="0.2">
      <c r="A69" s="10">
        <v>10</v>
      </c>
      <c r="B69" s="7" t="s">
        <v>230</v>
      </c>
      <c r="C69" s="7" t="str">
        <f t="shared" si="2"/>
        <v>10-Protección social(sin pensiones)</v>
      </c>
      <c r="D69" s="11">
        <v>10.8</v>
      </c>
      <c r="E69" s="7" t="s">
        <v>70</v>
      </c>
      <c r="F69" s="7" t="str">
        <f t="shared" si="3"/>
        <v>10,8-I+D relacionada con la protección social</v>
      </c>
      <c r="G69" s="7" t="s">
        <v>85</v>
      </c>
      <c r="H69" s="12" t="s">
        <v>219</v>
      </c>
      <c r="J69" s="7" t="s">
        <v>198</v>
      </c>
      <c r="N69" s="9"/>
    </row>
    <row r="70" spans="1:14" s="8" customFormat="1" ht="34" customHeight="1" x14ac:dyDescent="0.2">
      <c r="A70" s="10">
        <v>10</v>
      </c>
      <c r="B70" s="7" t="s">
        <v>230</v>
      </c>
      <c r="C70" s="7" t="str">
        <f t="shared" si="2"/>
        <v>10-Protección social(sin pensiones)</v>
      </c>
      <c r="D70" s="11">
        <v>10.9</v>
      </c>
      <c r="E70" s="7" t="s">
        <v>71</v>
      </c>
      <c r="F70" s="7" t="str">
        <f t="shared" si="3"/>
        <v>10,9-Protección social n.c.o.p.</v>
      </c>
      <c r="G70" s="7" t="s">
        <v>84</v>
      </c>
      <c r="H70" s="12" t="s">
        <v>219</v>
      </c>
      <c r="J70" s="7" t="s">
        <v>199</v>
      </c>
      <c r="N70" s="9"/>
    </row>
  </sheetData>
  <autoFilter ref="A1:J70" xr:uid="{00000000-0001-0000-0000-000000000000}"/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COFOG Clasificación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Rafael Fons Bibiloni</cp:lastModifiedBy>
  <dcterms:created xsi:type="dcterms:W3CDTF">2025-11-19T20:26:04Z</dcterms:created>
  <dcterms:modified xsi:type="dcterms:W3CDTF">2025-12-03T13:13:09Z</dcterms:modified>
</cp:coreProperties>
</file>