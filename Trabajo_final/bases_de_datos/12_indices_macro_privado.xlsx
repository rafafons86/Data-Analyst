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atnextadm-my.sharepoint.com/personal/r_fons_what-next_xyz/Documents/01-Capacitaciones/IT Academy - Data Analyst/sprint 13 proyecto final/tablas finales/"/>
    </mc:Choice>
  </mc:AlternateContent>
  <xr:revisionPtr revIDLastSave="887" documentId="8_{A4569969-3137-0D45-90B4-46596C711780}" xr6:coauthVersionLast="47" xr6:coauthVersionMax="47" xr10:uidLastSave="{84D3A25D-9D6E-F048-A065-9274CF10A243}"/>
  <bookViews>
    <workbookView xWindow="0" yWindow="700" windowWidth="34200" windowHeight="19800" activeTab="1" xr2:uid="{A3353774-281C-A542-AD3D-BEC24EF32265}"/>
  </bookViews>
  <sheets>
    <sheet name="indices_macro" sheetId="1" r:id="rId1"/>
    <sheet name="valores_macro" sheetId="4" r:id="rId2"/>
    <sheet name="valores_demogr" sheetId="3" r:id="rId3"/>
    <sheet name="valores_asalariados" sheetId="5" r:id="rId4"/>
    <sheet name="indices_sect_privad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2" i="4"/>
  <c r="K3" i="4"/>
  <c r="L3" i="4" s="1"/>
  <c r="K4" i="4"/>
  <c r="L4" i="4" s="1"/>
  <c r="K5" i="4"/>
  <c r="L5" i="4" s="1"/>
  <c r="K6" i="4"/>
  <c r="M6" i="4" s="1"/>
  <c r="K7" i="4"/>
  <c r="K8" i="4"/>
  <c r="K9" i="4"/>
  <c r="M9" i="4" s="1"/>
  <c r="K10" i="4"/>
  <c r="L10" i="4" s="1"/>
  <c r="K11" i="4"/>
  <c r="M11" i="4" s="1"/>
  <c r="K12" i="4"/>
  <c r="M12" i="4" s="1"/>
  <c r="K13" i="4"/>
  <c r="M13" i="4" s="1"/>
  <c r="K14" i="4"/>
  <c r="M14" i="4" s="1"/>
  <c r="K15" i="4"/>
  <c r="L15" i="4" s="1"/>
  <c r="K16" i="4"/>
  <c r="M16" i="4" s="1"/>
  <c r="K17" i="4"/>
  <c r="L17" i="4" s="1"/>
  <c r="K18" i="4"/>
  <c r="L18" i="4" s="1"/>
  <c r="K19" i="4"/>
  <c r="K20" i="4"/>
  <c r="L20" i="4" s="1"/>
  <c r="K21" i="4"/>
  <c r="L21" i="4" s="1"/>
  <c r="K22" i="4"/>
  <c r="M22" i="4" s="1"/>
  <c r="K23" i="4"/>
  <c r="L23" i="4" s="1"/>
  <c r="K24" i="4"/>
  <c r="M24" i="4" s="1"/>
  <c r="K25" i="4"/>
  <c r="M25" i="4" s="1"/>
  <c r="K26" i="4"/>
  <c r="M26" i="4" s="1"/>
  <c r="K27" i="4"/>
  <c r="L27" i="4" s="1"/>
  <c r="K28" i="4"/>
  <c r="L28" i="4" s="1"/>
  <c r="K29" i="4"/>
  <c r="M29" i="4" s="1"/>
  <c r="K30" i="4"/>
  <c r="L30" i="4" s="1"/>
  <c r="K2" i="4"/>
  <c r="M2" i="4" s="1"/>
  <c r="L7" i="4"/>
  <c r="M8" i="4"/>
  <c r="L2" i="4"/>
  <c r="M20" i="4"/>
  <c r="M19" i="4"/>
  <c r="M15" i="4"/>
  <c r="M7" i="4"/>
  <c r="M4" i="4"/>
  <c r="M3" i="4"/>
  <c r="G30" i="4"/>
  <c r="G29" i="4"/>
  <c r="G28" i="4"/>
  <c r="G23" i="4"/>
  <c r="G22" i="4"/>
  <c r="G21" i="4"/>
  <c r="G20" i="4"/>
  <c r="G15" i="4"/>
  <c r="G14" i="4"/>
  <c r="G13" i="4"/>
  <c r="G12" i="4"/>
  <c r="G7" i="4"/>
  <c r="G6" i="4"/>
  <c r="G5" i="4"/>
  <c r="G4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2" i="4"/>
  <c r="L29" i="4"/>
  <c r="L19" i="4"/>
  <c r="L12" i="4"/>
  <c r="L11" i="4"/>
  <c r="F29" i="4"/>
  <c r="F28" i="4"/>
  <c r="F25" i="4"/>
  <c r="F24" i="4"/>
  <c r="F21" i="4"/>
  <c r="F20" i="4"/>
  <c r="F17" i="4"/>
  <c r="F16" i="4"/>
  <c r="F13" i="4"/>
  <c r="F12" i="4"/>
  <c r="F9" i="4"/>
  <c r="F8" i="4"/>
  <c r="F5" i="4"/>
  <c r="F4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2" i="4"/>
  <c r="R2" i="4"/>
  <c r="R3" i="4" s="1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I8" i="1"/>
  <c r="I7" i="1"/>
  <c r="I6" i="1"/>
  <c r="I5" i="1"/>
  <c r="I4" i="1"/>
  <c r="I3" i="1"/>
  <c r="I2" i="1"/>
  <c r="E2" i="4"/>
  <c r="F2" i="4" s="1"/>
  <c r="E3" i="4"/>
  <c r="G3" i="4" s="1"/>
  <c r="E4" i="4"/>
  <c r="E5" i="4"/>
  <c r="E6" i="4"/>
  <c r="F6" i="4" s="1"/>
  <c r="E7" i="4"/>
  <c r="F7" i="4" s="1"/>
  <c r="E8" i="4"/>
  <c r="G8" i="4" s="1"/>
  <c r="E9" i="4"/>
  <c r="G9" i="4" s="1"/>
  <c r="E10" i="4"/>
  <c r="G10" i="4" s="1"/>
  <c r="E11" i="4"/>
  <c r="G11" i="4" s="1"/>
  <c r="E12" i="4"/>
  <c r="E13" i="4"/>
  <c r="E14" i="4"/>
  <c r="F14" i="4" s="1"/>
  <c r="E15" i="4"/>
  <c r="F15" i="4" s="1"/>
  <c r="E16" i="4"/>
  <c r="G16" i="4" s="1"/>
  <c r="E17" i="4"/>
  <c r="G17" i="4" s="1"/>
  <c r="E18" i="4"/>
  <c r="F18" i="4" s="1"/>
  <c r="E19" i="4"/>
  <c r="G19" i="4" s="1"/>
  <c r="E20" i="4"/>
  <c r="E21" i="4"/>
  <c r="E22" i="4"/>
  <c r="F22" i="4" s="1"/>
  <c r="E23" i="4"/>
  <c r="F23" i="4" s="1"/>
  <c r="E24" i="4"/>
  <c r="G24" i="4" s="1"/>
  <c r="E25" i="4"/>
  <c r="G25" i="4" s="1"/>
  <c r="E26" i="4"/>
  <c r="G26" i="4" s="1"/>
  <c r="E27" i="4"/>
  <c r="G27" i="4" s="1"/>
  <c r="E28" i="4"/>
  <c r="E29" i="4"/>
  <c r="E30" i="4"/>
  <c r="F30" i="4" s="1"/>
  <c r="F10" i="4" l="1"/>
  <c r="F26" i="4"/>
  <c r="M5" i="4"/>
  <c r="F3" i="4"/>
  <c r="F27" i="4"/>
  <c r="M21" i="4"/>
  <c r="M27" i="4"/>
  <c r="G2" i="4"/>
  <c r="G18" i="4"/>
  <c r="M28" i="4"/>
  <c r="L6" i="4"/>
  <c r="M30" i="4"/>
  <c r="H2" i="4"/>
  <c r="L13" i="4"/>
  <c r="F11" i="4"/>
  <c r="F19" i="4"/>
  <c r="L22" i="4"/>
  <c r="L9" i="4"/>
  <c r="L25" i="4"/>
  <c r="M17" i="4"/>
  <c r="M23" i="4"/>
  <c r="L14" i="4"/>
  <c r="M18" i="4"/>
  <c r="M10" i="4"/>
  <c r="L26" i="4"/>
  <c r="L8" i="4"/>
  <c r="L16" i="4"/>
  <c r="L24" i="4"/>
  <c r="I11" i="1"/>
  <c r="I19" i="1"/>
  <c r="I23" i="1"/>
  <c r="I12" i="1"/>
  <c r="I16" i="1"/>
  <c r="I20" i="1"/>
  <c r="I9" i="1"/>
  <c r="I13" i="1"/>
  <c r="I21" i="1"/>
  <c r="I22" i="1"/>
  <c r="I14" i="1"/>
  <c r="I17" i="1"/>
  <c r="I2" i="4" l="1"/>
  <c r="J2" i="4"/>
  <c r="H3" i="4"/>
  <c r="I15" i="1"/>
  <c r="I10" i="1"/>
  <c r="I18" i="1"/>
  <c r="I27" i="1"/>
  <c r="I28" i="1"/>
  <c r="I29" i="1"/>
  <c r="I26" i="1"/>
  <c r="I25" i="1"/>
  <c r="I30" i="1"/>
  <c r="I24" i="1"/>
  <c r="J3" i="4" l="1"/>
  <c r="H4" i="4"/>
  <c r="I3" i="4"/>
  <c r="H5" i="4" l="1"/>
  <c r="I4" i="4"/>
  <c r="J4" i="4"/>
  <c r="H6" i="4" l="1"/>
  <c r="I5" i="4"/>
  <c r="J5" i="4"/>
  <c r="H7" i="4" l="1"/>
  <c r="J6" i="4"/>
  <c r="I6" i="4"/>
  <c r="H8" i="4" l="1"/>
  <c r="I7" i="4"/>
  <c r="J7" i="4"/>
  <c r="H9" i="4" l="1"/>
  <c r="I8" i="4"/>
  <c r="J8" i="4"/>
  <c r="H10" i="4" l="1"/>
  <c r="I9" i="4"/>
  <c r="J9" i="4"/>
  <c r="H11" i="4" l="1"/>
  <c r="I10" i="4"/>
  <c r="J10" i="4"/>
  <c r="H12" i="4" l="1"/>
  <c r="J11" i="4"/>
  <c r="I11" i="4"/>
  <c r="H13" i="4" l="1"/>
  <c r="J12" i="4"/>
  <c r="I12" i="4"/>
  <c r="H14" i="4" l="1"/>
  <c r="J13" i="4"/>
  <c r="I13" i="4"/>
  <c r="H15" i="4" l="1"/>
  <c r="J14" i="4"/>
  <c r="I14" i="4"/>
  <c r="H16" i="4" l="1"/>
  <c r="I15" i="4"/>
  <c r="J15" i="4"/>
  <c r="H17" i="4" l="1"/>
  <c r="I16" i="4"/>
  <c r="J16" i="4"/>
  <c r="H18" i="4" l="1"/>
  <c r="J17" i="4"/>
  <c r="I17" i="4"/>
  <c r="H19" i="4" l="1"/>
  <c r="I18" i="4"/>
  <c r="J18" i="4"/>
  <c r="H20" i="4" l="1"/>
  <c r="J19" i="4"/>
  <c r="I19" i="4"/>
  <c r="H21" i="4" l="1"/>
  <c r="J20" i="4"/>
  <c r="I20" i="4"/>
  <c r="H22" i="4" l="1"/>
  <c r="I21" i="4"/>
  <c r="J21" i="4"/>
  <c r="H23" i="4" l="1"/>
  <c r="J22" i="4"/>
  <c r="I22" i="4"/>
  <c r="H24" i="4" l="1"/>
  <c r="I23" i="4"/>
  <c r="J23" i="4"/>
  <c r="H25" i="4" l="1"/>
  <c r="J24" i="4"/>
  <c r="I24" i="4"/>
  <c r="H26" i="4" l="1"/>
  <c r="I25" i="4"/>
  <c r="J25" i="4"/>
  <c r="H27" i="4" l="1"/>
  <c r="I26" i="4"/>
  <c r="J26" i="4"/>
  <c r="H28" i="4" l="1"/>
  <c r="J27" i="4"/>
  <c r="I27" i="4"/>
  <c r="H29" i="4" l="1"/>
  <c r="J28" i="4"/>
  <c r="I28" i="4"/>
  <c r="H30" i="4" l="1"/>
  <c r="J29" i="4"/>
  <c r="I29" i="4"/>
  <c r="J30" i="4" l="1"/>
  <c r="I30" i="4"/>
</calcChain>
</file>

<file path=xl/sharedStrings.xml><?xml version="1.0" encoding="utf-8"?>
<sst xmlns="http://schemas.openxmlformats.org/spreadsheetml/2006/main" count="45" uniqueCount="41">
  <si>
    <t>Año</t>
  </si>
  <si>
    <t>pib per capita</t>
  </si>
  <si>
    <t>interes bonos 10 años (% anual)</t>
  </si>
  <si>
    <t>balanza com (% pib)</t>
  </si>
  <si>
    <t>tasa cobertura expo/impo (%)</t>
  </si>
  <si>
    <t>cant desempleados</t>
  </si>
  <si>
    <t>cant PEA</t>
  </si>
  <si>
    <t>cant ocupados</t>
  </si>
  <si>
    <t>tasa desempleo (% PEA)</t>
  </si>
  <si>
    <t>cant empleo público</t>
  </si>
  <si>
    <t>cant empleo privado</t>
  </si>
  <si>
    <t>tasa ocupación (% PEA)</t>
  </si>
  <si>
    <t>tasa riesgo pobreza (% pobl)</t>
  </si>
  <si>
    <t>cant personas riesgo pobreza</t>
  </si>
  <si>
    <t>indice gini</t>
  </si>
  <si>
    <t>tasa trabaj activos (% pob)</t>
  </si>
  <si>
    <t>ipc (%anual)</t>
  </si>
  <si>
    <t>deficit (% pib)</t>
  </si>
  <si>
    <t>deuda (% pib),</t>
  </si>
  <si>
    <t>pib per PEA</t>
  </si>
  <si>
    <t>deficit per PEA</t>
  </si>
  <si>
    <t>deuda per PEA</t>
  </si>
  <si>
    <t>salario bruto mediano (€)</t>
  </si>
  <si>
    <t>umbral riesgo hogar (€)</t>
  </si>
  <si>
    <t>riqueza por familia</t>
  </si>
  <si>
    <t>tasa morosidad bancaria</t>
  </si>
  <si>
    <t>crédito sector privado</t>
  </si>
  <si>
    <t>cant empresas</t>
  </si>
  <si>
    <t>balanza com (MM €)</t>
  </si>
  <si>
    <t>índice IBEX35</t>
  </si>
  <si>
    <t>deficit (MM €)</t>
  </si>
  <si>
    <t>deficit per capita</t>
  </si>
  <si>
    <t>deuda (MM €)</t>
  </si>
  <si>
    <t>deuda per capita</t>
  </si>
  <si>
    <t>umbral riesgo hab (€)</t>
  </si>
  <si>
    <t>ipc_acum(%)</t>
  </si>
  <si>
    <t>total hab</t>
  </si>
  <si>
    <t>deficit_acum (MM €)</t>
  </si>
  <si>
    <t>deficit_acum per capita</t>
  </si>
  <si>
    <t>deficit_acum per PEA</t>
  </si>
  <si>
    <t>pib (MM € 2023)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</si>
</sst>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\ _€_-;\-* #,##0.00\ _€_-;_-* &quot;-&quot;??\ _€_-;_-@_-"/>
    <numFmt numFmtId="167" formatCode="0.0%"/>
    <numFmt numFmtId="168" formatCode="_-* #,##0\ _€_-;\-* #,##0\ _€_-;_-* &quot;-&quot;??\ _€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6"/>
      <color rgb="FF202122"/>
      <name val="Arial"/>
      <family val="2"/>
    </font>
    <font>
      <sz val="12"/>
      <color rgb="FFFF0000"/>
      <name val="Arial"/>
      <family val="2"/>
    </font>
    <font>
      <sz val="10"/>
      <color rgb="FFFF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0" applyFont="1"/>
    <xf numFmtId="0" fontId="5" fillId="0" borderId="0" xfId="0" applyFont="1"/>
    <xf numFmtId="3" fontId="5" fillId="0" borderId="0" xfId="0" applyNumberFormat="1" applyFont="1"/>
    <xf numFmtId="43" fontId="5" fillId="0" borderId="0" xfId="1" applyFont="1"/>
    <xf numFmtId="164" fontId="5" fillId="0" borderId="0" xfId="1" applyNumberFormat="1" applyFont="1"/>
    <xf numFmtId="165" fontId="5" fillId="0" borderId="0" xfId="1" applyNumberFormat="1" applyFont="1"/>
    <xf numFmtId="0" fontId="0" fillId="2" borderId="0" xfId="0" applyFill="1"/>
    <xf numFmtId="165" fontId="3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168" fontId="0" fillId="0" borderId="0" xfId="0" applyNumberFormat="1"/>
    <xf numFmtId="165" fontId="0" fillId="0" borderId="0" xfId="1" applyNumberFormat="1" applyFont="1"/>
    <xf numFmtId="0" fontId="6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8" fillId="0" borderId="0" xfId="0" applyFont="1"/>
    <xf numFmtId="43" fontId="0" fillId="0" borderId="0" xfId="0" applyNumberFormat="1"/>
    <xf numFmtId="2" fontId="5" fillId="0" borderId="0" xfId="0" applyNumberFormat="1" applyFont="1"/>
    <xf numFmtId="0" fontId="7" fillId="2" borderId="0" xfId="0" applyFont="1" applyFill="1"/>
    <xf numFmtId="165" fontId="2" fillId="0" borderId="0" xfId="1" applyNumberFormat="1" applyFont="1" applyFill="1" applyAlignment="1">
      <alignment horizontal="center"/>
    </xf>
    <xf numFmtId="165" fontId="9" fillId="0" borderId="0" xfId="1" applyNumberFormat="1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5" fontId="5" fillId="0" borderId="0" xfId="1" applyNumberFormat="1" applyFont="1" applyAlignment="1">
      <alignment horizontal="center"/>
    </xf>
    <xf numFmtId="43" fontId="0" fillId="0" borderId="0" xfId="1" applyFont="1"/>
    <xf numFmtId="4" fontId="3" fillId="0" borderId="0" xfId="0" applyNumberFormat="1" applyFont="1"/>
    <xf numFmtId="4" fontId="4" fillId="0" borderId="0" xfId="0" applyNumberFormat="1" applyFont="1"/>
    <xf numFmtId="9" fontId="0" fillId="0" borderId="0" xfId="2" applyFont="1"/>
    <xf numFmtId="164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52C3-3E63-9746-B6D3-CD97014D737A}">
  <dimension ref="A1:K30"/>
  <sheetViews>
    <sheetView workbookViewId="0">
      <selection activeCell="B1" sqref="B1"/>
    </sheetView>
  </sheetViews>
  <sheetFormatPr baseColWidth="10" defaultRowHeight="16" x14ac:dyDescent="0.2"/>
  <cols>
    <col min="1" max="1" width="5.1640625" bestFit="1" customWidth="1"/>
    <col min="2" max="2" width="11.33203125" bestFit="1" customWidth="1"/>
    <col min="3" max="3" width="12" bestFit="1" customWidth="1"/>
    <col min="4" max="4" width="12.33203125" bestFit="1" customWidth="1"/>
    <col min="5" max="5" width="17.83203125" bestFit="1" customWidth="1"/>
    <col min="6" max="6" width="25.6640625" bestFit="1" customWidth="1"/>
    <col min="7" max="7" width="24.6640625" bestFit="1" customWidth="1"/>
    <col min="8" max="8" width="23.33203125" bestFit="1" customWidth="1"/>
    <col min="9" max="10" width="21.1640625" bestFit="1" customWidth="1"/>
    <col min="11" max="11" width="27" bestFit="1" customWidth="1"/>
  </cols>
  <sheetData>
    <row r="1" spans="1:11" x14ac:dyDescent="0.2">
      <c r="A1" s="3" t="s">
        <v>0</v>
      </c>
      <c r="B1" s="15" t="s">
        <v>16</v>
      </c>
      <c r="C1" s="15" t="s">
        <v>17</v>
      </c>
      <c r="D1" s="15" t="s">
        <v>18</v>
      </c>
      <c r="E1" s="15" t="s">
        <v>3</v>
      </c>
      <c r="F1" s="15" t="s">
        <v>4</v>
      </c>
      <c r="G1" s="15" t="s">
        <v>12</v>
      </c>
      <c r="H1" s="3" t="s">
        <v>15</v>
      </c>
      <c r="I1" s="3" t="s">
        <v>11</v>
      </c>
      <c r="J1" s="3" t="s">
        <v>8</v>
      </c>
      <c r="K1" s="15" t="s">
        <v>2</v>
      </c>
    </row>
    <row r="2" spans="1:11" x14ac:dyDescent="0.2">
      <c r="A2" s="3">
        <v>1995</v>
      </c>
      <c r="B2" s="7">
        <v>4.3</v>
      </c>
      <c r="C2" s="7">
        <v>-6.79</v>
      </c>
      <c r="D2" s="7">
        <v>61.6</v>
      </c>
      <c r="E2" s="7">
        <v>-2.61</v>
      </c>
      <c r="F2" s="7">
        <v>86.18</v>
      </c>
      <c r="G2" s="7">
        <v>19</v>
      </c>
      <c r="H2" s="7">
        <f>+valores_demogr!E2/valores_demogr!B2*100</f>
        <v>42.178562731549903</v>
      </c>
      <c r="I2" s="7">
        <f t="shared" ref="I2:I8" si="0">100-J2</f>
        <v>77.099999999999994</v>
      </c>
      <c r="J2" s="7">
        <v>22.9</v>
      </c>
      <c r="K2" s="7">
        <v>11.324</v>
      </c>
    </row>
    <row r="3" spans="1:11" x14ac:dyDescent="0.2">
      <c r="A3" s="3">
        <v>1996</v>
      </c>
      <c r="B3" s="7">
        <v>3.2</v>
      </c>
      <c r="C3" s="7">
        <v>-5.87</v>
      </c>
      <c r="D3" s="7">
        <v>65.400000000000006</v>
      </c>
      <c r="E3" s="7">
        <v>-2.25</v>
      </c>
      <c r="F3" s="7">
        <v>88.47</v>
      </c>
      <c r="G3" s="7">
        <v>18</v>
      </c>
      <c r="H3" s="7">
        <f>+valores_demogr!E3/valores_demogr!B3*100</f>
        <v>42.239276057095829</v>
      </c>
      <c r="I3" s="7">
        <f t="shared" si="0"/>
        <v>77.900000000000006</v>
      </c>
      <c r="J3" s="7">
        <v>22.1</v>
      </c>
      <c r="K3" s="7">
        <v>8.6219999999999999</v>
      </c>
    </row>
    <row r="4" spans="1:11" x14ac:dyDescent="0.2">
      <c r="A4" s="3">
        <v>1997</v>
      </c>
      <c r="B4" s="7">
        <v>2</v>
      </c>
      <c r="C4" s="7">
        <v>-3.86</v>
      </c>
      <c r="D4" s="7">
        <v>64.3</v>
      </c>
      <c r="E4" s="7">
        <v>-2.5299999999999998</v>
      </c>
      <c r="F4" s="7">
        <v>87.11</v>
      </c>
      <c r="G4" s="7">
        <v>20</v>
      </c>
      <c r="H4" s="7">
        <f>+valores_demogr!E4/valores_demogr!B4*100</f>
        <v>42.516277064285134</v>
      </c>
      <c r="I4" s="7">
        <f t="shared" si="0"/>
        <v>79.400000000000006</v>
      </c>
      <c r="J4" s="7">
        <v>20.6</v>
      </c>
      <c r="K4" s="7">
        <v>6.3689999999999998</v>
      </c>
    </row>
    <row r="5" spans="1:11" x14ac:dyDescent="0.2">
      <c r="A5" s="3">
        <v>1998</v>
      </c>
      <c r="B5" s="7">
        <v>1.4</v>
      </c>
      <c r="C5" s="7">
        <v>-2.63</v>
      </c>
      <c r="D5" s="7">
        <v>62.4</v>
      </c>
      <c r="E5" s="7">
        <v>-3.96</v>
      </c>
      <c r="F5" s="7">
        <v>81.93</v>
      </c>
      <c r="G5" s="7">
        <v>18</v>
      </c>
      <c r="H5" s="7">
        <f>+valores_demogr!E5/valores_demogr!B5*100</f>
        <v>42.903149418433621</v>
      </c>
      <c r="I5" s="7">
        <f t="shared" si="0"/>
        <v>81.400000000000006</v>
      </c>
      <c r="J5" s="7">
        <v>18.600000000000001</v>
      </c>
      <c r="K5" s="7">
        <v>4.7949999999999999</v>
      </c>
    </row>
    <row r="6" spans="1:11" x14ac:dyDescent="0.2">
      <c r="A6" s="3">
        <v>1999</v>
      </c>
      <c r="B6" s="7">
        <v>2.9</v>
      </c>
      <c r="C6" s="7">
        <v>-1.24</v>
      </c>
      <c r="D6" s="7">
        <v>60.9</v>
      </c>
      <c r="E6" s="7">
        <v>-4.87</v>
      </c>
      <c r="F6" s="7">
        <v>77.16</v>
      </c>
      <c r="G6" s="7">
        <v>19</v>
      </c>
      <c r="H6" s="7">
        <f>+valores_demogr!E6/valores_demogr!B6*100</f>
        <v>43.457674591134776</v>
      </c>
      <c r="I6" s="7">
        <f t="shared" si="0"/>
        <v>84.4</v>
      </c>
      <c r="J6" s="7">
        <v>15.6</v>
      </c>
      <c r="K6" s="7">
        <v>4.8029999999999999</v>
      </c>
    </row>
    <row r="7" spans="1:11" x14ac:dyDescent="0.2">
      <c r="A7" s="3">
        <v>2000</v>
      </c>
      <c r="B7" s="7">
        <v>4</v>
      </c>
      <c r="C7" s="7">
        <v>-1.1599999999999999</v>
      </c>
      <c r="D7" s="7">
        <v>57.8</v>
      </c>
      <c r="E7" s="7">
        <v>-6.84</v>
      </c>
      <c r="F7" s="7">
        <v>73.81</v>
      </c>
      <c r="G7" s="7">
        <v>18</v>
      </c>
      <c r="H7" s="7">
        <f>+valores_demogr!E7/valores_demogr!B7*100</f>
        <v>44.428028691119223</v>
      </c>
      <c r="I7" s="7">
        <f t="shared" si="0"/>
        <v>86.1</v>
      </c>
      <c r="J7" s="7">
        <v>13.9</v>
      </c>
      <c r="K7" s="7">
        <v>5.5090000000000003</v>
      </c>
    </row>
    <row r="8" spans="1:11" x14ac:dyDescent="0.2">
      <c r="A8" s="3">
        <v>2001</v>
      </c>
      <c r="B8" s="7">
        <v>2.7</v>
      </c>
      <c r="C8" s="7">
        <v>-0.45</v>
      </c>
      <c r="D8" s="7">
        <v>54.1</v>
      </c>
      <c r="E8" s="7">
        <v>-6.05</v>
      </c>
      <c r="F8" s="7">
        <v>75.430000000000007</v>
      </c>
      <c r="G8" s="7">
        <v>18</v>
      </c>
      <c r="H8" s="7">
        <f>+valores_demogr!E8/valores_demogr!B8*100</f>
        <v>45.510848460096682</v>
      </c>
      <c r="I8" s="7">
        <f t="shared" si="0"/>
        <v>89.2</v>
      </c>
      <c r="J8" s="7">
        <v>10.8</v>
      </c>
      <c r="K8" s="7">
        <v>5.1120000000000001</v>
      </c>
    </row>
    <row r="9" spans="1:11" x14ac:dyDescent="0.2">
      <c r="A9" s="3">
        <v>2002</v>
      </c>
      <c r="B9" s="7">
        <v>4</v>
      </c>
      <c r="C9" s="7">
        <v>-0.31</v>
      </c>
      <c r="D9" s="7">
        <v>51.2</v>
      </c>
      <c r="E9" s="7">
        <v>-5.56</v>
      </c>
      <c r="F9" s="7">
        <v>76.13</v>
      </c>
      <c r="G9" s="7">
        <v>19</v>
      </c>
      <c r="H9" s="7">
        <f>+valores_demogr!E9/valores_demogr!B9*100</f>
        <v>45.812315033462404</v>
      </c>
      <c r="I9" s="7">
        <f>+valores_demogr!C23/valores_demogr!E23*100</f>
        <v>80.753691228315134</v>
      </c>
      <c r="J9" s="7">
        <v>11.6</v>
      </c>
      <c r="K9" s="7">
        <v>4.9109999999999996</v>
      </c>
    </row>
    <row r="10" spans="1:11" x14ac:dyDescent="0.2">
      <c r="A10" s="3">
        <v>2003</v>
      </c>
      <c r="B10" s="7">
        <v>2.6</v>
      </c>
      <c r="C10" s="7">
        <v>-0.37</v>
      </c>
      <c r="D10" s="7">
        <v>47.7</v>
      </c>
      <c r="E10" s="7">
        <v>-5.78</v>
      </c>
      <c r="F10" s="7">
        <v>74.849999999999994</v>
      </c>
      <c r="G10" s="7">
        <v>19</v>
      </c>
      <c r="H10" s="7">
        <f>+valores_demogr!E10/valores_demogr!B10*100</f>
        <v>45.850922125681123</v>
      </c>
      <c r="I10" s="7">
        <f>+valores_demogr!C22/valores_demogr!E22*100</f>
        <v>79.232642051425771</v>
      </c>
      <c r="J10" s="7">
        <v>11.4</v>
      </c>
      <c r="K10" s="7">
        <v>4.1289999999999996</v>
      </c>
    </row>
    <row r="11" spans="1:11" x14ac:dyDescent="0.2">
      <c r="A11" s="3">
        <v>2004</v>
      </c>
      <c r="B11" s="7">
        <v>3.2</v>
      </c>
      <c r="C11" s="7">
        <v>-0.11</v>
      </c>
      <c r="D11" s="7">
        <v>45.3</v>
      </c>
      <c r="E11" s="7">
        <v>-7.08</v>
      </c>
      <c r="F11" s="7">
        <v>70.69</v>
      </c>
      <c r="G11" s="7">
        <v>20.100000000000001</v>
      </c>
      <c r="H11" s="7">
        <f>+valores_demogr!E11/valores_demogr!B11*100</f>
        <v>46.398384528390217</v>
      </c>
      <c r="I11" s="7">
        <f>+valores_demogr!C21/valores_demogr!E21*100</f>
        <v>76.980374802280181</v>
      </c>
      <c r="J11" s="7">
        <v>10.5</v>
      </c>
      <c r="K11" s="7">
        <v>4.0759999999999996</v>
      </c>
    </row>
    <row r="12" spans="1:11" x14ac:dyDescent="0.2">
      <c r="A12" s="3">
        <v>2005</v>
      </c>
      <c r="B12" s="7">
        <v>3.7</v>
      </c>
      <c r="C12" s="7">
        <v>1.23</v>
      </c>
      <c r="D12" s="7">
        <v>42.4</v>
      </c>
      <c r="E12" s="7">
        <v>-8.33</v>
      </c>
      <c r="F12" s="7">
        <v>66.709999999999994</v>
      </c>
      <c r="G12" s="7">
        <v>20.100000000000001</v>
      </c>
      <c r="H12" s="7">
        <f>+valores_demogr!E12/valores_demogr!B12*100</f>
        <v>46.966404361702686</v>
      </c>
      <c r="I12" s="7">
        <f>+valores_demogr!C20/valores_demogr!E20*100</f>
        <v>75.062861949027067</v>
      </c>
      <c r="J12" s="7">
        <v>8.6999999999999993</v>
      </c>
      <c r="K12" s="7">
        <v>3.363</v>
      </c>
    </row>
    <row r="13" spans="1:11" x14ac:dyDescent="0.2">
      <c r="A13" s="3">
        <v>2006</v>
      </c>
      <c r="B13" s="7">
        <v>2.7</v>
      </c>
      <c r="C13" s="7">
        <v>2.12</v>
      </c>
      <c r="D13" s="7">
        <v>39</v>
      </c>
      <c r="E13" s="7">
        <v>-9.11</v>
      </c>
      <c r="F13" s="7">
        <v>65.02</v>
      </c>
      <c r="G13" s="7">
        <v>20.3</v>
      </c>
      <c r="H13" s="7">
        <f>+valores_demogr!E13/valores_demogr!B13*100</f>
        <v>47.474515771126001</v>
      </c>
      <c r="I13" s="7">
        <f>+valores_demogr!C19/valores_demogr!E19*100</f>
        <v>75.846412261823531</v>
      </c>
      <c r="J13" s="7">
        <v>8.3000000000000007</v>
      </c>
      <c r="K13" s="7">
        <v>3.81</v>
      </c>
    </row>
    <row r="14" spans="1:11" x14ac:dyDescent="0.2">
      <c r="A14" s="3">
        <v>2007</v>
      </c>
      <c r="B14" s="7">
        <v>4.2</v>
      </c>
      <c r="C14" s="7">
        <v>1.88</v>
      </c>
      <c r="D14" s="7">
        <v>35.700000000000003</v>
      </c>
      <c r="E14" s="7">
        <v>-9.2100000000000009</v>
      </c>
      <c r="F14" s="7">
        <v>65.06</v>
      </c>
      <c r="G14" s="7">
        <v>19.7</v>
      </c>
      <c r="H14" s="7">
        <f>+valores_demogr!E14/valores_demogr!B14*100</f>
        <v>47.569093899227525</v>
      </c>
      <c r="I14" s="7">
        <f>+valores_demogr!C18/valores_demogr!E18*100</f>
        <v>79.080121279710042</v>
      </c>
      <c r="J14" s="7">
        <v>8.6</v>
      </c>
      <c r="K14" s="7">
        <v>4.3079999999999998</v>
      </c>
    </row>
    <row r="15" spans="1:11" x14ac:dyDescent="0.2">
      <c r="A15" s="3">
        <v>2008</v>
      </c>
      <c r="B15" s="7">
        <v>1.4</v>
      </c>
      <c r="C15" s="7">
        <v>-4.5599999999999996</v>
      </c>
      <c r="D15" s="7">
        <v>39.6</v>
      </c>
      <c r="E15" s="7">
        <v>-8.51</v>
      </c>
      <c r="F15" s="7">
        <v>66.89</v>
      </c>
      <c r="G15" s="7">
        <v>19.8</v>
      </c>
      <c r="H15" s="7">
        <f>+valores_demogr!E15/valores_demogr!B15*100</f>
        <v>47.783841574837979</v>
      </c>
      <c r="I15" s="7">
        <f>+valores_demogr!C17/valores_demogr!E17*100</f>
        <v>81.748262156152052</v>
      </c>
      <c r="J15" s="7">
        <v>13.8</v>
      </c>
      <c r="K15" s="7">
        <v>4.3959999999999999</v>
      </c>
    </row>
    <row r="16" spans="1:11" x14ac:dyDescent="0.2">
      <c r="A16" s="3">
        <v>2009</v>
      </c>
      <c r="B16" s="7">
        <v>0.8</v>
      </c>
      <c r="C16" s="7">
        <v>-11.24</v>
      </c>
      <c r="D16" s="7">
        <v>53.1</v>
      </c>
      <c r="E16" s="7">
        <v>-4.4000000000000004</v>
      </c>
      <c r="F16" s="7">
        <v>77.53</v>
      </c>
      <c r="G16" s="7">
        <v>20.399999999999999</v>
      </c>
      <c r="H16" s="7">
        <f>+valores_demogr!E16/valores_demogr!B16*100</f>
        <v>48.247645274110155</v>
      </c>
      <c r="I16" s="7">
        <f>+valores_demogr!C16/valores_demogr!E16*100</f>
        <v>84.224230561735638</v>
      </c>
      <c r="J16" s="7">
        <v>18.7</v>
      </c>
      <c r="K16" s="7">
        <v>4.0220000000000002</v>
      </c>
    </row>
    <row r="17" spans="1:11" x14ac:dyDescent="0.2">
      <c r="A17" s="3">
        <v>2010</v>
      </c>
      <c r="B17" s="7">
        <v>3</v>
      </c>
      <c r="C17" s="7">
        <v>-9.49</v>
      </c>
      <c r="D17" s="7">
        <v>60.3</v>
      </c>
      <c r="E17" s="7">
        <v>-5.08</v>
      </c>
      <c r="F17" s="7">
        <v>77.8</v>
      </c>
      <c r="G17" s="7">
        <v>20.7</v>
      </c>
      <c r="H17" s="7">
        <f>+valores_demogr!E17/valores_demogr!B17*100</f>
        <v>48.951752489838952</v>
      </c>
      <c r="I17" s="7">
        <f>+valores_demogr!C15/valores_demogr!E15*100</f>
        <v>90.768910472552491</v>
      </c>
      <c r="J17" s="7">
        <v>20.100000000000001</v>
      </c>
      <c r="K17" s="7">
        <v>4.335</v>
      </c>
    </row>
    <row r="18" spans="1:11" x14ac:dyDescent="0.2">
      <c r="A18" s="3">
        <v>2011</v>
      </c>
      <c r="B18" s="7">
        <v>2.4</v>
      </c>
      <c r="C18" s="7">
        <v>-9.69</v>
      </c>
      <c r="D18" s="7">
        <v>69.5</v>
      </c>
      <c r="E18" s="7">
        <v>-4.71</v>
      </c>
      <c r="F18" s="7">
        <v>81.400000000000006</v>
      </c>
      <c r="G18" s="7">
        <v>20.6</v>
      </c>
      <c r="H18" s="7">
        <f>+valores_demogr!E18/valores_demogr!B18*100</f>
        <v>49.030488474827834</v>
      </c>
      <c r="I18" s="7">
        <f>+valores_demogr!C14/valores_demogr!E14*100</f>
        <v>95.367399640034435</v>
      </c>
      <c r="J18" s="7">
        <v>22.6</v>
      </c>
      <c r="K18" s="7">
        <v>5.4980000000000002</v>
      </c>
    </row>
    <row r="19" spans="1:11" x14ac:dyDescent="0.2">
      <c r="A19" s="3">
        <v>2012</v>
      </c>
      <c r="B19" s="7">
        <v>2.9</v>
      </c>
      <c r="C19" s="7">
        <v>-11.5</v>
      </c>
      <c r="D19" s="7">
        <v>89.6</v>
      </c>
      <c r="E19" s="7">
        <v>-3.16</v>
      </c>
      <c r="F19" s="7">
        <v>87.52</v>
      </c>
      <c r="G19" s="7">
        <v>20.8</v>
      </c>
      <c r="H19" s="7">
        <f>+valores_demogr!E19/valores_demogr!B19*100</f>
        <v>48.924100788629659</v>
      </c>
      <c r="I19" s="7">
        <f>+valores_demogr!C13/valores_demogr!E13*100</f>
        <v>94.986665914125666</v>
      </c>
      <c r="J19" s="7">
        <v>25.8</v>
      </c>
      <c r="K19" s="7">
        <v>5.8650000000000002</v>
      </c>
    </row>
    <row r="20" spans="1:11" x14ac:dyDescent="0.2">
      <c r="A20" s="3">
        <v>2013</v>
      </c>
      <c r="B20" s="7">
        <v>0.3</v>
      </c>
      <c r="C20" s="7">
        <v>-7.49</v>
      </c>
      <c r="D20" s="7">
        <v>100</v>
      </c>
      <c r="E20" s="7">
        <v>-1.67</v>
      </c>
      <c r="F20" s="7">
        <v>93.32</v>
      </c>
      <c r="G20" s="7">
        <v>20.399999999999999</v>
      </c>
      <c r="H20" s="7">
        <f>+valores_demogr!E20/valores_demogr!B20*100</f>
        <v>49.079167381443305</v>
      </c>
      <c r="I20" s="7">
        <f>+valores_demogr!C12/valores_demogr!E12*100</f>
        <v>94.384588217649821</v>
      </c>
      <c r="J20" s="7">
        <v>25.7</v>
      </c>
      <c r="K20" s="7">
        <v>4.5810000000000004</v>
      </c>
    </row>
    <row r="21" spans="1:11" x14ac:dyDescent="0.2">
      <c r="A21" s="3">
        <v>2014</v>
      </c>
      <c r="B21" s="7">
        <v>-1</v>
      </c>
      <c r="C21" s="7">
        <v>-6.04</v>
      </c>
      <c r="D21" s="7">
        <v>104.4</v>
      </c>
      <c r="E21" s="7">
        <v>-2.4900000000000002</v>
      </c>
      <c r="F21" s="7">
        <v>90.43</v>
      </c>
      <c r="G21" s="7">
        <v>22.2</v>
      </c>
      <c r="H21" s="7">
        <f>+valores_demogr!E21/valores_demogr!B21*100</f>
        <v>49.134367566197874</v>
      </c>
      <c r="I21" s="7">
        <f>+valores_demogr!C11/valores_demogr!E11*100</f>
        <v>92.045816574409628</v>
      </c>
      <c r="J21" s="7">
        <v>23.7</v>
      </c>
      <c r="K21" s="7">
        <v>2.738</v>
      </c>
    </row>
    <row r="22" spans="1:11" x14ac:dyDescent="0.2">
      <c r="A22" s="3">
        <v>2015</v>
      </c>
      <c r="B22" s="7">
        <v>0</v>
      </c>
      <c r="C22" s="7">
        <v>-5.27</v>
      </c>
      <c r="D22" s="7">
        <v>102.5</v>
      </c>
      <c r="E22" s="7">
        <v>-2.4500000000000002</v>
      </c>
      <c r="F22" s="7">
        <v>90.52</v>
      </c>
      <c r="G22" s="7">
        <v>22.1</v>
      </c>
      <c r="H22" s="7">
        <f>+valores_demogr!E22/valores_demogr!B22*100</f>
        <v>49.174744437990967</v>
      </c>
      <c r="I22" s="7">
        <f>+valores_demogr!C10/valores_demogr!E10*100</f>
        <v>90.937749892354063</v>
      </c>
      <c r="J22" s="7">
        <v>20.9</v>
      </c>
      <c r="K22" s="7">
        <v>1.714</v>
      </c>
    </row>
    <row r="23" spans="1:11" x14ac:dyDescent="0.2">
      <c r="A23" s="3">
        <v>2016</v>
      </c>
      <c r="B23" s="7">
        <v>1.6</v>
      </c>
      <c r="C23" s="7">
        <v>-4.22</v>
      </c>
      <c r="D23" s="7">
        <v>102</v>
      </c>
      <c r="E23" s="7">
        <v>-1.69</v>
      </c>
      <c r="F23" s="7">
        <v>93.27</v>
      </c>
      <c r="G23" s="7">
        <v>22.3</v>
      </c>
      <c r="H23" s="7">
        <f>+valores_demogr!E23/valores_demogr!B23*100</f>
        <v>49.259958279313672</v>
      </c>
      <c r="I23" s="7">
        <f>+valores_demogr!C9/valores_demogr!E9*100</f>
        <v>88.673593462162685</v>
      </c>
      <c r="J23" s="7">
        <v>18.600000000000001</v>
      </c>
      <c r="K23" s="7">
        <v>1.353</v>
      </c>
    </row>
    <row r="24" spans="1:11" x14ac:dyDescent="0.2">
      <c r="A24" s="3">
        <v>2017</v>
      </c>
      <c r="B24" s="7">
        <v>1.1000000000000001</v>
      </c>
      <c r="C24" s="7">
        <v>-3.07</v>
      </c>
      <c r="D24" s="7">
        <v>101.2</v>
      </c>
      <c r="E24" s="7">
        <v>-2.44</v>
      </c>
      <c r="F24" s="7">
        <v>90.78</v>
      </c>
      <c r="G24" s="7">
        <v>21.6</v>
      </c>
      <c r="H24" s="7">
        <f>+valores_demogr!E24/valores_demogr!B24*100</f>
        <v>49.248960215071023</v>
      </c>
      <c r="I24" s="7">
        <f>+valores_demogr!C8/valores_demogr!E8*100</f>
        <v>79.294338288942527</v>
      </c>
      <c r="J24" s="7">
        <v>16.600000000000001</v>
      </c>
      <c r="K24" s="7">
        <v>1.5640000000000001</v>
      </c>
    </row>
    <row r="25" spans="1:11" x14ac:dyDescent="0.2">
      <c r="A25" s="3">
        <v>2018</v>
      </c>
      <c r="B25" s="7">
        <v>1.2</v>
      </c>
      <c r="C25" s="7">
        <v>-2.5499999999999998</v>
      </c>
      <c r="D25" s="7">
        <v>99.8</v>
      </c>
      <c r="E25" s="7">
        <v>-3.07</v>
      </c>
      <c r="F25" s="7">
        <v>88.78</v>
      </c>
      <c r="G25" s="7">
        <v>21.5</v>
      </c>
      <c r="H25" s="7">
        <f>+valores_demogr!E25/valores_demogr!B25*100</f>
        <v>49.173084125848533</v>
      </c>
      <c r="I25" s="7">
        <f>+valores_demogr!C7/valores_demogr!E7*100</f>
        <v>71.594463441111273</v>
      </c>
      <c r="J25" s="7">
        <v>16.600000000000001</v>
      </c>
      <c r="K25" s="7">
        <v>1.44</v>
      </c>
    </row>
    <row r="26" spans="1:11" x14ac:dyDescent="0.2">
      <c r="A26" s="3">
        <v>2019</v>
      </c>
      <c r="B26" s="7">
        <v>0.8</v>
      </c>
      <c r="C26" s="7">
        <v>-3.06</v>
      </c>
      <c r="D26" s="7">
        <v>97.7</v>
      </c>
      <c r="E26" s="7">
        <v>-2.76</v>
      </c>
      <c r="F26" s="7">
        <v>89.61</v>
      </c>
      <c r="G26" s="7">
        <v>20.7</v>
      </c>
      <c r="H26" s="7">
        <f>+valores_demogr!E26/valores_demogr!B26*100</f>
        <v>49.178353006237941</v>
      </c>
      <c r="I26" s="7">
        <f>+valores_demogr!C6/valores_demogr!E6*100</f>
        <v>73.335939781464205</v>
      </c>
      <c r="J26" s="7">
        <v>14.5</v>
      </c>
      <c r="K26" s="7">
        <v>0.65900000000000003</v>
      </c>
    </row>
    <row r="27" spans="1:11" x14ac:dyDescent="0.2">
      <c r="A27" s="3">
        <v>2020</v>
      </c>
      <c r="B27" s="7">
        <v>-0.5</v>
      </c>
      <c r="C27" s="7">
        <v>-9.91</v>
      </c>
      <c r="D27" s="7">
        <v>119.3</v>
      </c>
      <c r="E27" s="7">
        <v>-1.39</v>
      </c>
      <c r="F27" s="7">
        <v>94.52</v>
      </c>
      <c r="G27" s="7">
        <v>21</v>
      </c>
      <c r="H27" s="7">
        <f>+valores_demogr!E27/valores_demogr!B27*100</f>
        <v>49.407689388916722</v>
      </c>
      <c r="I27" s="7">
        <f>+valores_demogr!C5/valores_demogr!E5*100</f>
        <v>68.497745663286466</v>
      </c>
      <c r="J27" s="7">
        <v>13.8</v>
      </c>
      <c r="K27" s="7">
        <v>0.40100000000000002</v>
      </c>
    </row>
    <row r="28" spans="1:11" x14ac:dyDescent="0.2">
      <c r="A28" s="3">
        <v>2021</v>
      </c>
      <c r="B28" s="7">
        <v>6.5</v>
      </c>
      <c r="C28" s="7">
        <v>-6.65</v>
      </c>
      <c r="D28" s="7">
        <v>115.7</v>
      </c>
      <c r="E28" s="7">
        <v>-2.75</v>
      </c>
      <c r="F28" s="7">
        <v>90.53</v>
      </c>
      <c r="G28" s="7">
        <v>21.7</v>
      </c>
      <c r="H28" s="7">
        <f>+valores_demogr!E28/valores_demogr!B28*100</f>
        <v>49.446699361137433</v>
      </c>
      <c r="I28" s="7">
        <f>+valores_demogr!C4/valores_demogr!E4*100</f>
        <v>68.771255414405772</v>
      </c>
      <c r="J28" s="7">
        <v>16.100000000000001</v>
      </c>
      <c r="K28" s="7">
        <v>0.38600000000000001</v>
      </c>
    </row>
    <row r="29" spans="1:11" x14ac:dyDescent="0.2">
      <c r="A29" s="3">
        <v>2022</v>
      </c>
      <c r="B29" s="7">
        <v>5.7</v>
      </c>
      <c r="C29" s="7">
        <v>-4.59</v>
      </c>
      <c r="D29" s="7">
        <v>109.3</v>
      </c>
      <c r="E29" s="7">
        <v>-5.45</v>
      </c>
      <c r="F29" s="7">
        <v>84.06</v>
      </c>
      <c r="G29" s="7">
        <v>20.399999999999999</v>
      </c>
      <c r="H29" s="7">
        <f>+valores_demogr!E29/valores_demogr!B29*100</f>
        <v>49.254491403319193</v>
      </c>
      <c r="I29" s="7">
        <f>+valores_demogr!C3/valores_demogr!E3*100</f>
        <v>67.491780953401232</v>
      </c>
      <c r="J29" s="7">
        <v>13.3</v>
      </c>
      <c r="K29" s="7">
        <v>2.2080000000000002</v>
      </c>
    </row>
    <row r="30" spans="1:11" x14ac:dyDescent="0.2">
      <c r="A30" s="3">
        <v>2023</v>
      </c>
      <c r="B30" s="7">
        <v>3.1</v>
      </c>
      <c r="C30" s="7">
        <v>-3.34</v>
      </c>
      <c r="D30" s="7">
        <v>105.2</v>
      </c>
      <c r="E30" s="7">
        <v>-2.92</v>
      </c>
      <c r="F30" s="7">
        <v>89.99</v>
      </c>
      <c r="G30" s="7">
        <v>20.2</v>
      </c>
      <c r="H30" s="7">
        <f>+valores_demogr!E30/valores_demogr!B30*100</f>
        <v>49.53918365798058</v>
      </c>
      <c r="I30" s="7">
        <f>+valores_demogr!C2/valores_demogr!$E2*100</f>
        <v>66.218222296743022</v>
      </c>
      <c r="J30" s="7">
        <v>12.9</v>
      </c>
      <c r="K30" s="7">
        <v>3.504</v>
      </c>
    </row>
  </sheetData>
  <sortState xmlns:xlrd2="http://schemas.microsoft.com/office/spreadsheetml/2017/richdata2" ref="A2:L30">
    <sortCondition ref="A2:A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32F9-BC74-EE40-9F3E-F59163CEC37F}">
  <dimension ref="A1:R52"/>
  <sheetViews>
    <sheetView tabSelected="1" workbookViewId="0">
      <selection activeCell="R1" sqref="R1"/>
    </sheetView>
  </sheetViews>
  <sheetFormatPr baseColWidth="10" defaultRowHeight="16" x14ac:dyDescent="0.2"/>
  <cols>
    <col min="1" max="1" width="5.1640625" bestFit="1" customWidth="1"/>
    <col min="2" max="2" width="13.6640625" bestFit="1" customWidth="1"/>
    <col min="3" max="3" width="17.6640625" bestFit="1" customWidth="1"/>
    <col min="4" max="4" width="12.5" customWidth="1"/>
    <col min="5" max="5" width="16.5" bestFit="1" customWidth="1"/>
    <col min="6" max="6" width="15.6640625" bestFit="1" customWidth="1"/>
    <col min="7" max="7" width="15.6640625" customWidth="1"/>
    <col min="8" max="8" width="17.33203125" bestFit="1" customWidth="1"/>
    <col min="9" max="9" width="20.6640625" bestFit="1" customWidth="1"/>
    <col min="10" max="10" width="18.83203125" bestFit="1" customWidth="1"/>
    <col min="11" max="11" width="16.33203125" bestFit="1" customWidth="1"/>
    <col min="12" max="12" width="15.5" bestFit="1" customWidth="1"/>
    <col min="13" max="13" width="15.6640625" customWidth="1"/>
    <col min="14" max="14" width="21.1640625" bestFit="1" customWidth="1"/>
    <col min="15" max="15" width="13.1640625" bestFit="1" customWidth="1"/>
    <col min="16" max="16" width="12.33203125" bestFit="1" customWidth="1"/>
    <col min="18" max="18" width="11.83203125" bestFit="1" customWidth="1"/>
  </cols>
  <sheetData>
    <row r="1" spans="1:18" s="29" customFormat="1" x14ac:dyDescent="0.15">
      <c r="A1" s="27" t="s">
        <v>0</v>
      </c>
      <c r="B1" s="28" t="s">
        <v>40</v>
      </c>
      <c r="C1" s="28" t="s">
        <v>1</v>
      </c>
      <c r="D1" s="28" t="s">
        <v>19</v>
      </c>
      <c r="E1" s="28" t="s">
        <v>30</v>
      </c>
      <c r="F1" s="28" t="s">
        <v>31</v>
      </c>
      <c r="G1" s="28" t="s">
        <v>20</v>
      </c>
      <c r="H1" s="28" t="s">
        <v>37</v>
      </c>
      <c r="I1" s="28" t="s">
        <v>38</v>
      </c>
      <c r="J1" s="28" t="s">
        <v>39</v>
      </c>
      <c r="K1" s="28" t="s">
        <v>32</v>
      </c>
      <c r="L1" s="28" t="s">
        <v>33</v>
      </c>
      <c r="M1" s="28" t="s">
        <v>21</v>
      </c>
      <c r="N1" s="28" t="s">
        <v>28</v>
      </c>
      <c r="O1" s="27" t="s">
        <v>27</v>
      </c>
      <c r="P1" s="15" t="s">
        <v>29</v>
      </c>
      <c r="Q1" s="15" t="s">
        <v>14</v>
      </c>
      <c r="R1" s="28" t="s">
        <v>35</v>
      </c>
    </row>
    <row r="2" spans="1:18" x14ac:dyDescent="0.2">
      <c r="A2" s="3">
        <v>1995</v>
      </c>
      <c r="B2" s="6">
        <v>889655</v>
      </c>
      <c r="C2" s="14">
        <f>+B2/(valores_demogr!$B2/1000000)</f>
        <v>22348.438547125788</v>
      </c>
      <c r="D2" s="14">
        <f>+B2/(valores_demogr!$E2/1000000)</f>
        <v>52985.301299536644</v>
      </c>
      <c r="E2" s="10">
        <f>indices_macro!C30%*valores_macro!B30</f>
        <v>-50025.217400000001</v>
      </c>
      <c r="F2" s="14">
        <f>+E2/(valores_demogr!$B2/1000000)</f>
        <v>-1256.6506082363476</v>
      </c>
      <c r="G2" s="14">
        <f>+E2/(valores_demogr!$E2/1000000)</f>
        <v>-2979.3585339416099</v>
      </c>
      <c r="H2" s="14">
        <f>+E2</f>
        <v>-50025.217400000001</v>
      </c>
      <c r="I2" s="14">
        <f>+H2/(valores_demogr!$B2/1000000)</f>
        <v>-1256.6506082363476</v>
      </c>
      <c r="J2" s="14">
        <f>+H2/(valores_demogr!$E2/1000000)</f>
        <v>-2979.3585339416099</v>
      </c>
      <c r="K2" s="13">
        <f>+B2*indices_macro!D2%</f>
        <v>548027.48</v>
      </c>
      <c r="L2" s="14">
        <f>+K2/(valores_demogr!$B2/1000000)</f>
        <v>13766.638145029485</v>
      </c>
      <c r="M2" s="14">
        <f>+K2/(valores_demogr!$E2/1000000)</f>
        <v>32638.945600514569</v>
      </c>
      <c r="N2" s="14">
        <f>+indices_macro!E2%*valores_macro!B2</f>
        <v>-23219.995499999997</v>
      </c>
      <c r="O2" s="8">
        <v>2166491</v>
      </c>
      <c r="P2" s="7">
        <v>3.8</v>
      </c>
      <c r="Q2" s="7">
        <v>34</v>
      </c>
      <c r="R2" s="11">
        <f>+(1+indices_macro!B2%)</f>
        <v>1.0429999999999999</v>
      </c>
    </row>
    <row r="3" spans="1:18" x14ac:dyDescent="0.2">
      <c r="A3" s="3">
        <v>1996</v>
      </c>
      <c r="B3" s="6">
        <v>906141</v>
      </c>
      <c r="C3" s="14">
        <f>+B3/(valores_demogr!$B3/1000000)</f>
        <v>22669.774127350134</v>
      </c>
      <c r="D3" s="14">
        <f>+B3/(valores_demogr!$E3/1000000)</f>
        <v>53669.892676917239</v>
      </c>
      <c r="E3" s="10">
        <f>indices_macro!C29%*valores_macro!B29</f>
        <v>-66751.773300000001</v>
      </c>
      <c r="F3" s="14">
        <f>+E3/(valores_demogr!$B3/1000000)</f>
        <v>-1669.991340543118</v>
      </c>
      <c r="G3" s="14">
        <f>+E3/(valores_demogr!$E3/1000000)</f>
        <v>-3953.6457449832969</v>
      </c>
      <c r="H3" s="14">
        <f>+H2+E3</f>
        <v>-116776.99069999999</v>
      </c>
      <c r="I3" s="14">
        <f>+H3/(valores_demogr!$B3/1000000)</f>
        <v>-2921.5188391659431</v>
      </c>
      <c r="J3" s="14">
        <f>+H3/(valores_demogr!$E3/1000000)</f>
        <v>-6916.5930666445538</v>
      </c>
      <c r="K3" s="13">
        <f>+B3*indices_macro!D3%</f>
        <v>592616.21400000004</v>
      </c>
      <c r="L3" s="14">
        <f>+K3/(valores_demogr!$B3/1000000)</f>
        <v>14826.032279286988</v>
      </c>
      <c r="M3" s="14">
        <f>+K3/(valores_demogr!$E3/1000000)</f>
        <v>35100.109810703878</v>
      </c>
      <c r="N3" s="14">
        <f>+indices_macro!E3%*valores_macro!B3</f>
        <v>-20388.172500000001</v>
      </c>
      <c r="O3" s="8">
        <v>2242216</v>
      </c>
      <c r="P3" s="7">
        <v>5.3</v>
      </c>
      <c r="Q3" s="7">
        <v>34</v>
      </c>
      <c r="R3" s="11">
        <f>+(1+indices_macro!B3%)*R2</f>
        <v>1.076376</v>
      </c>
    </row>
    <row r="4" spans="1:18" x14ac:dyDescent="0.2">
      <c r="A4" s="3">
        <v>1997</v>
      </c>
      <c r="B4" s="6">
        <v>931963</v>
      </c>
      <c r="C4" s="14">
        <f>+B4/(valores_demogr!$B4/1000000)</f>
        <v>23215.817853617911</v>
      </c>
      <c r="D4" s="14">
        <f>+B4/(valores_demogr!$E4/1000000)</f>
        <v>54604.540793906548</v>
      </c>
      <c r="E4" s="10">
        <f>indices_macro!C28%*valores_macro!B28</f>
        <v>-92486.803500000009</v>
      </c>
      <c r="F4" s="14">
        <f>+E4/(valores_demogr!$B4/1000000)</f>
        <v>-2303.9077559080688</v>
      </c>
      <c r="G4" s="14">
        <f>+E4/(valores_demogr!$E4/1000000)</f>
        <v>-5418.8840486304389</v>
      </c>
      <c r="H4" s="14">
        <f t="shared" ref="H4:H30" si="0">+H3+E4</f>
        <v>-209263.7942</v>
      </c>
      <c r="I4" s="14">
        <f>+H4/(valores_demogr!$B4/1000000)</f>
        <v>-5212.9002219017111</v>
      </c>
      <c r="J4" s="14">
        <f>+H4/(valores_demogr!$E4/1000000)</f>
        <v>-12260.951762120991</v>
      </c>
      <c r="K4" s="13">
        <f>+B4*indices_macro!D4%</f>
        <v>599252.20900000003</v>
      </c>
      <c r="L4" s="14">
        <f>+K4/(valores_demogr!$B4/1000000)</f>
        <v>14927.770879876318</v>
      </c>
      <c r="M4" s="14">
        <f>+K4/(valores_demogr!$E4/1000000)</f>
        <v>35110.719730481913</v>
      </c>
      <c r="N4" s="14">
        <f>+indices_macro!E4%*valores_macro!B4</f>
        <v>-23578.6639</v>
      </c>
      <c r="O4" s="8">
        <v>2326296</v>
      </c>
      <c r="P4" s="7">
        <v>7.6</v>
      </c>
      <c r="Q4" s="7">
        <v>35</v>
      </c>
      <c r="R4" s="11">
        <f>+(1+indices_macro!B4%)*R3</f>
        <v>1.09790352</v>
      </c>
    </row>
    <row r="5" spans="1:18" x14ac:dyDescent="0.2">
      <c r="A5" s="3">
        <v>1998</v>
      </c>
      <c r="B5" s="6">
        <v>978105</v>
      </c>
      <c r="C5" s="14">
        <f>+B5/(valores_demogr!$B5/1000000)</f>
        <v>24268.446902765532</v>
      </c>
      <c r="D5" s="14">
        <f>+B5/(valores_demogr!$E5/1000000)</f>
        <v>56565.653644854414</v>
      </c>
      <c r="E5" s="10">
        <f>indices_macro!C27%*valores_macro!B27</f>
        <v>-125342.2746</v>
      </c>
      <c r="F5" s="14">
        <f>+E5/(valores_demogr!$B5/1000000)</f>
        <v>-3109.9547960617288</v>
      </c>
      <c r="G5" s="14">
        <f>+E5/(valores_demogr!$E5/1000000)</f>
        <v>-7248.7797241419203</v>
      </c>
      <c r="H5" s="14">
        <f t="shared" si="0"/>
        <v>-334606.06880000001</v>
      </c>
      <c r="I5" s="14">
        <f>+H5/(valores_demogr!$B5/1000000)</f>
        <v>-8302.1450805546556</v>
      </c>
      <c r="J5" s="14">
        <f>+H5/(valores_demogr!$E5/1000000)</f>
        <v>-19350.898927218575</v>
      </c>
      <c r="K5" s="13">
        <f>+B5*indices_macro!D5%</f>
        <v>610337.52</v>
      </c>
      <c r="L5" s="14">
        <f>+K5/(valores_demogr!$B5/1000000)</f>
        <v>15143.510867325693</v>
      </c>
      <c r="M5" s="14">
        <f>+K5/(valores_demogr!$E5/1000000)</f>
        <v>35296.967874389156</v>
      </c>
      <c r="N5" s="14">
        <f>+indices_macro!E5%*valores_macro!B5</f>
        <v>-38732.957999999999</v>
      </c>
      <c r="O5" s="8">
        <v>2422628</v>
      </c>
      <c r="P5" s="7">
        <v>10.8</v>
      </c>
      <c r="Q5" s="7">
        <v>34</v>
      </c>
      <c r="R5" s="11">
        <f>+(1+indices_macro!B5%)*R4</f>
        <v>1.1132741692800001</v>
      </c>
    </row>
    <row r="6" spans="1:18" x14ac:dyDescent="0.2">
      <c r="A6" s="3">
        <v>1999</v>
      </c>
      <c r="B6" s="6">
        <v>1033501</v>
      </c>
      <c r="C6" s="14">
        <f>+B6/(valores_demogr!$B6/1000000)</f>
        <v>25537.345001314796</v>
      </c>
      <c r="D6" s="14">
        <f>+B6/(valores_demogr!$E6/1000000)</f>
        <v>58763.717206636575</v>
      </c>
      <c r="E6" s="10">
        <f>indices_macro!C26%*valores_macro!B26</f>
        <v>-43313.841</v>
      </c>
      <c r="F6" s="14">
        <f>+E6/(valores_demogr!$B6/1000000)</f>
        <v>-1070.2655352525965</v>
      </c>
      <c r="G6" s="14">
        <f>+E6/(valores_demogr!$E6/1000000)</f>
        <v>-2462.7768174943426</v>
      </c>
      <c r="H6" s="14">
        <f t="shared" si="0"/>
        <v>-377919.90980000002</v>
      </c>
      <c r="I6" s="14">
        <f>+H6/(valores_demogr!$B6/1000000)</f>
        <v>-9338.2310413133309</v>
      </c>
      <c r="J6" s="14">
        <f>+H6/(valores_demogr!$E6/1000000)</f>
        <v>-21488.105677928521</v>
      </c>
      <c r="K6" s="13">
        <f>+B6*indices_macro!D6%</f>
        <v>629402.10899999994</v>
      </c>
      <c r="L6" s="14">
        <f>+K6/(valores_demogr!$B6/1000000)</f>
        <v>15552.243105800708</v>
      </c>
      <c r="M6" s="14">
        <f>+K6/(valores_demogr!$E6/1000000)</f>
        <v>35787.103778841672</v>
      </c>
      <c r="N6" s="14">
        <f>+indices_macro!E6%*valores_macro!B6</f>
        <v>-50331.498700000004</v>
      </c>
      <c r="O6" s="5">
        <v>2518801</v>
      </c>
      <c r="P6" s="7">
        <v>11</v>
      </c>
      <c r="Q6" s="7">
        <v>33</v>
      </c>
      <c r="R6" s="11">
        <f>+(1+indices_macro!B6%)*R5</f>
        <v>1.14555912018912</v>
      </c>
    </row>
    <row r="7" spans="1:18" x14ac:dyDescent="0.2">
      <c r="A7" s="3">
        <v>2000</v>
      </c>
      <c r="B7" s="6">
        <v>1092667</v>
      </c>
      <c r="C7" s="14">
        <f>+B7/(valores_demogr!$B7/1000000)</f>
        <v>26869.601772212816</v>
      </c>
      <c r="D7" s="14">
        <f>+B7/(valores_demogr!$E7/1000000)</f>
        <v>60478.942153883618</v>
      </c>
      <c r="E7" s="10">
        <f>indices_macro!C25%*valores_macro!B25</f>
        <v>-35320.789499999999</v>
      </c>
      <c r="F7" s="14">
        <f>+E7/(valores_demogr!$B7/1000000)</f>
        <v>-868.56796091138085</v>
      </c>
      <c r="G7" s="14">
        <f>+E7/(valores_demogr!$E7/1000000)</f>
        <v>-1955</v>
      </c>
      <c r="H7" s="14">
        <f t="shared" si="0"/>
        <v>-413240.69930000004</v>
      </c>
      <c r="I7" s="14">
        <f>+H7/(valores_demogr!$B7/1000000)</f>
        <v>-10161.936826372301</v>
      </c>
      <c r="J7" s="14">
        <f>+H7/(valores_demogr!$E7/1000000)</f>
        <v>-22872.806032025419</v>
      </c>
      <c r="K7" s="13">
        <f>+B7*indices_macro!D7%</f>
        <v>631561.52599999995</v>
      </c>
      <c r="L7" s="14">
        <f>+K7/(valores_demogr!$B7/1000000)</f>
        <v>15530.629824339007</v>
      </c>
      <c r="M7" s="14">
        <f>+K7/(valores_demogr!$E7/1000000)</f>
        <v>34956.828564944728</v>
      </c>
      <c r="N7" s="14">
        <f>+indices_macro!E7%*valores_macro!B7</f>
        <v>-74738.4228</v>
      </c>
      <c r="O7" s="5">
        <v>2595392</v>
      </c>
      <c r="P7" s="7">
        <v>10</v>
      </c>
      <c r="Q7" s="7">
        <v>32</v>
      </c>
      <c r="R7" s="11">
        <f>+(1+indices_macro!B7%)*R6</f>
        <v>1.1913814849966848</v>
      </c>
    </row>
    <row r="8" spans="1:18" x14ac:dyDescent="0.2">
      <c r="A8" s="3">
        <v>2001</v>
      </c>
      <c r="B8" s="6">
        <v>1137262</v>
      </c>
      <c r="C8" s="14">
        <f>+B8/(valores_demogr!$B8/1000000)</f>
        <v>27714.255865399304</v>
      </c>
      <c r="D8" s="14">
        <f>+B8/(valores_demogr!$E8/1000000)</f>
        <v>60895.933174479935</v>
      </c>
      <c r="E8" s="10">
        <f>indices_macro!C24%*valores_macro!B24</f>
        <v>-41492.830599999994</v>
      </c>
      <c r="F8" s="14">
        <f>+E8/(valores_demogr!$B8/1000000)</f>
        <v>-1011.1503979101294</v>
      </c>
      <c r="G8" s="14">
        <f>+E8/(valores_demogr!$E8/1000000)</f>
        <v>-2221.7788332307032</v>
      </c>
      <c r="H8" s="14">
        <f t="shared" si="0"/>
        <v>-454733.52990000002</v>
      </c>
      <c r="I8" s="14">
        <f>+H8/(valores_demogr!$B8/1000000)</f>
        <v>-11081.528617174235</v>
      </c>
      <c r="J8" s="14">
        <f>+H8/(valores_demogr!$E8/1000000)</f>
        <v>-24349.202425637868</v>
      </c>
      <c r="K8" s="13">
        <f>+B8*indices_macro!D8%</f>
        <v>615258.74200000009</v>
      </c>
      <c r="L8" s="14">
        <f>+K8/(valores_demogr!$B8/1000000)</f>
        <v>14993.412423181026</v>
      </c>
      <c r="M8" s="14">
        <f>+K8/(valores_demogr!$E8/1000000)</f>
        <v>32944.699847393647</v>
      </c>
      <c r="N8" s="14">
        <f>+indices_macro!E8%*valores_macro!B8</f>
        <v>-68804.350999999995</v>
      </c>
      <c r="O8" s="5">
        <v>2645317</v>
      </c>
      <c r="P8" s="7">
        <v>8.1999999999999993</v>
      </c>
      <c r="Q8" s="7">
        <v>33</v>
      </c>
      <c r="R8" s="11">
        <f>+(1+indices_macro!B8%)*R7</f>
        <v>1.2235487850915951</v>
      </c>
    </row>
    <row r="9" spans="1:18" x14ac:dyDescent="0.2">
      <c r="A9" s="3">
        <v>2002</v>
      </c>
      <c r="B9" s="6">
        <v>1184435</v>
      </c>
      <c r="C9" s="14">
        <f>+B9/(valores_demogr!$B9/1000000)</f>
        <v>28316.908386080504</v>
      </c>
      <c r="D9" s="14">
        <f>+B9/(valores_demogr!$E9/1000000)</f>
        <v>61810.690783465456</v>
      </c>
      <c r="E9" s="10">
        <f>indices_macro!C23%*valores_macro!B23</f>
        <v>-55617.700999999994</v>
      </c>
      <c r="F9" s="14">
        <f>+E9/(valores_demogr!$B9/1000000)</f>
        <v>-1329.6815307394816</v>
      </c>
      <c r="G9" s="14">
        <f>+E9/(valores_demogr!$E9/1000000)</f>
        <v>-2902.4543504694111</v>
      </c>
      <c r="H9" s="14">
        <f t="shared" si="0"/>
        <v>-510351.23090000002</v>
      </c>
      <c r="I9" s="14">
        <f>+H9/(valores_demogr!$B9/1000000)</f>
        <v>-12201.234386115506</v>
      </c>
      <c r="J9" s="14">
        <f>+H9/(valores_demogr!$E9/1000000)</f>
        <v>-26633.088454934954</v>
      </c>
      <c r="K9" s="13">
        <f>+B9*indices_macro!D9%</f>
        <v>606430.71999999997</v>
      </c>
      <c r="L9" s="14">
        <f>+K9/(valores_demogr!$B9/1000000)</f>
        <v>14498.257093673217</v>
      </c>
      <c r="M9" s="14">
        <f>+K9/(valores_demogr!$E9/1000000)</f>
        <v>31647.073681134312</v>
      </c>
      <c r="N9" s="14">
        <f>+indices_macro!E9%*valores_macro!B9</f>
        <v>-65854.585999999996</v>
      </c>
      <c r="O9" s="5">
        <v>2710400</v>
      </c>
      <c r="P9" s="7">
        <v>6.1</v>
      </c>
      <c r="Q9" s="7">
        <v>31</v>
      </c>
      <c r="R9" s="11">
        <f>+(1+indices_macro!B9%)*R8</f>
        <v>1.2724907364952589</v>
      </c>
    </row>
    <row r="10" spans="1:18" x14ac:dyDescent="0.2">
      <c r="A10" s="3">
        <v>2003</v>
      </c>
      <c r="B10" s="6">
        <v>1219295</v>
      </c>
      <c r="C10" s="14">
        <f>+B10/(valores_demogr!$B10/1000000)</f>
        <v>28657.29639192982</v>
      </c>
      <c r="D10" s="14">
        <f>+B10/(valores_demogr!$E10/1000000)</f>
        <v>62501.02519940128</v>
      </c>
      <c r="E10" s="10">
        <f>indices_macro!C22%*valores_macro!B22</f>
        <v>-67238.559800000003</v>
      </c>
      <c r="F10" s="14">
        <f>+E10/(valores_demogr!$B10/1000000)</f>
        <v>-1580.3192313222785</v>
      </c>
      <c r="G10" s="14">
        <f>+E10/(valores_demogr!$E10/1000000)</f>
        <v>-3446.6465625064075</v>
      </c>
      <c r="H10" s="14">
        <f t="shared" si="0"/>
        <v>-577589.79070000001</v>
      </c>
      <c r="I10" s="14">
        <f>+H10/(valores_demogr!$B10/1000000)</f>
        <v>-13575.190437951938</v>
      </c>
      <c r="J10" s="14">
        <f>+H10/(valores_demogr!$E10/1000000)</f>
        <v>-29607.235380656537</v>
      </c>
      <c r="K10" s="13">
        <f>+B10*indices_macro!D10%</f>
        <v>581603.71500000008</v>
      </c>
      <c r="L10" s="14">
        <f>+K10/(valores_demogr!$B10/1000000)</f>
        <v>13669.530378950525</v>
      </c>
      <c r="M10" s="14">
        <f>+K10/(valores_demogr!$E10/1000000)</f>
        <v>29812.989020114415</v>
      </c>
      <c r="N10" s="14">
        <f>+indices_macro!E10%*valores_macro!B10</f>
        <v>-70475.251000000004</v>
      </c>
      <c r="O10" s="5">
        <v>2813159</v>
      </c>
      <c r="P10" s="7">
        <v>7.7</v>
      </c>
      <c r="Q10" s="7">
        <v>31</v>
      </c>
      <c r="R10" s="11">
        <f>+(1+indices_macro!B10%)*R9</f>
        <v>1.3055754956441357</v>
      </c>
    </row>
    <row r="11" spans="1:18" x14ac:dyDescent="0.2">
      <c r="A11" s="3">
        <v>2004</v>
      </c>
      <c r="B11" s="6">
        <v>1273344</v>
      </c>
      <c r="C11" s="14">
        <f>+B11/(valores_demogr!$B11/1000000)</f>
        <v>29409.971998784655</v>
      </c>
      <c r="D11" s="14">
        <f>+B11/(valores_demogr!$E11/1000000)</f>
        <v>63385.767193660155</v>
      </c>
      <c r="E11" s="10">
        <f>indices_macro!C21%*valores_macro!B21</f>
        <v>-72912.161999999997</v>
      </c>
      <c r="F11" s="14">
        <f>+E11/(valores_demogr!$B11/1000000)</f>
        <v>-1684.026188359823</v>
      </c>
      <c r="G11" s="14">
        <f>+E11/(valores_demogr!$E11/1000000)</f>
        <v>-3629.4931504121701</v>
      </c>
      <c r="H11" s="14">
        <f t="shared" si="0"/>
        <v>-650501.95270000002</v>
      </c>
      <c r="I11" s="14">
        <f>+H11/(valores_demogr!$B11/1000000)</f>
        <v>-15024.411481941832</v>
      </c>
      <c r="J11" s="14">
        <f>+H11/(valores_demogr!$E11/1000000)</f>
        <v>-32381.324553980328</v>
      </c>
      <c r="K11" s="13">
        <f>+B11*indices_macro!D11%</f>
        <v>576824.83199999994</v>
      </c>
      <c r="L11" s="14">
        <f>+K11/(valores_demogr!$B11/1000000)</f>
        <v>13322.717315449447</v>
      </c>
      <c r="M11" s="14">
        <f>+K11/(valores_demogr!$E11/1000000)</f>
        <v>28713.752538728044</v>
      </c>
      <c r="N11" s="14">
        <f>+indices_macro!E11%*valores_macro!B11</f>
        <v>-90152.7552</v>
      </c>
      <c r="O11" s="5">
        <v>2942583</v>
      </c>
      <c r="P11" s="7">
        <v>9.1</v>
      </c>
      <c r="Q11" s="7">
        <v>31</v>
      </c>
      <c r="R11" s="11">
        <f>+(1+indices_macro!B11%)*R10</f>
        <v>1.3473539115047481</v>
      </c>
    </row>
    <row r="12" spans="1:18" x14ac:dyDescent="0.2">
      <c r="A12" s="3">
        <v>2005</v>
      </c>
      <c r="B12" s="6">
        <v>1331505</v>
      </c>
      <c r="C12" s="14">
        <f>+B12/(valores_demogr!$B12/1000000)</f>
        <v>30254.622537907264</v>
      </c>
      <c r="D12" s="14">
        <f>+B12/(valores_demogr!$E12/1000000)</f>
        <v>64417.58305555422</v>
      </c>
      <c r="E12" s="10">
        <f>indices_macro!C20%*valores_macro!B20</f>
        <v>-89526.472000000009</v>
      </c>
      <c r="F12" s="14">
        <f>+E12/(valores_demogr!$B12/1000000)</f>
        <v>-2034.2316532874634</v>
      </c>
      <c r="G12" s="14">
        <f>+E12/(valores_demogr!$E12/1000000)</f>
        <v>-4331.2484337127908</v>
      </c>
      <c r="H12" s="14">
        <f t="shared" si="0"/>
        <v>-740028.42470000009</v>
      </c>
      <c r="I12" s="14">
        <f>+H12/(valores_demogr!$B12/1000000)</f>
        <v>-16815.018086015923</v>
      </c>
      <c r="J12" s="14">
        <f>+H12/(valores_demogr!$E12/1000000)</f>
        <v>-35802.225685658865</v>
      </c>
      <c r="K12" s="13">
        <f>+B12*indices_macro!D12%</f>
        <v>564558.12</v>
      </c>
      <c r="L12" s="14">
        <f>+K12/(valores_demogr!$B12/1000000)</f>
        <v>12827.95995607268</v>
      </c>
      <c r="M12" s="14">
        <f>+K12/(valores_demogr!$E12/1000000)</f>
        <v>27313.055215554989</v>
      </c>
      <c r="N12" s="14">
        <f>+indices_macro!E12%*valores_macro!B12</f>
        <v>-110914.3665</v>
      </c>
      <c r="O12" s="5">
        <v>3064129</v>
      </c>
      <c r="P12" s="7">
        <v>10.7</v>
      </c>
      <c r="Q12" s="7">
        <v>32.200000000000003</v>
      </c>
      <c r="R12" s="11">
        <f>+(1+indices_macro!B12%)*R11</f>
        <v>1.3972060062304237</v>
      </c>
    </row>
    <row r="13" spans="1:18" x14ac:dyDescent="0.2">
      <c r="A13" s="3">
        <v>2006</v>
      </c>
      <c r="B13" s="6">
        <v>1390319</v>
      </c>
      <c r="C13" s="14">
        <f>+B13/(valores_demogr!$B13/1000000)</f>
        <v>31044.536925021581</v>
      </c>
      <c r="D13" s="14">
        <f>+B13/(valores_demogr!$E13/1000000)</f>
        <v>65392.003311180415</v>
      </c>
      <c r="E13" s="10">
        <f>indices_macro!C19%*valores_macro!B19</f>
        <v>-142865.535</v>
      </c>
      <c r="F13" s="14">
        <f>+E13/(valores_demogr!$B13/1000000)</f>
        <v>-3190.0552151128359</v>
      </c>
      <c r="G13" s="14">
        <f>+E13/(valores_demogr!$E13/1000000)</f>
        <v>-6719.5108013150657</v>
      </c>
      <c r="H13" s="14">
        <f t="shared" si="0"/>
        <v>-882893.95970000012</v>
      </c>
      <c r="I13" s="14">
        <f>+H13/(valores_demogr!$B13/1000000)</f>
        <v>-19714.205252740681</v>
      </c>
      <c r="J13" s="14">
        <f>+H13/(valores_demogr!$E13/1000000)</f>
        <v>-41525.869053162329</v>
      </c>
      <c r="K13" s="13">
        <f>+B13*indices_macro!D13%</f>
        <v>542224.41</v>
      </c>
      <c r="L13" s="14">
        <f>+K13/(valores_demogr!$B13/1000000)</f>
        <v>12107.369400758418</v>
      </c>
      <c r="M13" s="14">
        <f>+K13/(valores_demogr!$E13/1000000)</f>
        <v>25502.881291360362</v>
      </c>
      <c r="N13" s="14">
        <f>+indices_macro!E13%*valores_macro!B13</f>
        <v>-126658.0609</v>
      </c>
      <c r="O13" s="5">
        <v>3174393</v>
      </c>
      <c r="P13" s="7">
        <v>14</v>
      </c>
      <c r="Q13" s="7">
        <v>31.9</v>
      </c>
      <c r="R13" s="11">
        <f>+(1+indices_macro!B13%)*R12</f>
        <v>1.4349305683986451</v>
      </c>
    </row>
    <row r="14" spans="1:18" x14ac:dyDescent="0.2">
      <c r="A14" s="3">
        <v>2007</v>
      </c>
      <c r="B14" s="6">
        <v>1451518</v>
      </c>
      <c r="C14" s="14">
        <f>+B14/(valores_demogr!$B14/1000000)</f>
        <v>31783.484871051744</v>
      </c>
      <c r="D14" s="14">
        <f>+B14/(valores_demogr!$E14/1000000)</f>
        <v>66815.409472342028</v>
      </c>
      <c r="E14" s="10">
        <f>indices_macro!C18%*valores_macro!B18</f>
        <v>-127162.9359</v>
      </c>
      <c r="F14" s="14">
        <f>+E14/(valores_demogr!$B14/1000000)</f>
        <v>-2784.4513463396061</v>
      </c>
      <c r="G14" s="14">
        <f>+E14/(valores_demogr!$E14/1000000)</f>
        <v>-5853.4883011190232</v>
      </c>
      <c r="H14" s="14">
        <f t="shared" si="0"/>
        <v>-1010056.8956000002</v>
      </c>
      <c r="I14" s="14">
        <f>+H14/(valores_demogr!$B14/1000000)</f>
        <v>-22116.934175259346</v>
      </c>
      <c r="J14" s="14">
        <f>+H14/(valores_demogr!$E14/1000000)</f>
        <v>-46494.33563336909</v>
      </c>
      <c r="K14" s="13">
        <f>+B14*indices_macro!D14%</f>
        <v>518191.92600000004</v>
      </c>
      <c r="L14" s="14">
        <f>+K14/(valores_demogr!$B14/1000000)</f>
        <v>11346.704098965474</v>
      </c>
      <c r="M14" s="14">
        <f>+K14/(valores_demogr!$E14/1000000)</f>
        <v>23853.101181626109</v>
      </c>
      <c r="N14" s="14">
        <f>+indices_macro!E14%*valores_macro!B14</f>
        <v>-133684.80780000001</v>
      </c>
      <c r="O14" s="5">
        <v>3336657</v>
      </c>
      <c r="P14" s="7">
        <v>15.2</v>
      </c>
      <c r="Q14" s="7">
        <v>31.9</v>
      </c>
      <c r="R14" s="11">
        <f>+(1+indices_macro!B14%)*R13</f>
        <v>1.4951976522713881</v>
      </c>
    </row>
    <row r="15" spans="1:18" x14ac:dyDescent="0.2">
      <c r="A15" s="3">
        <v>2008</v>
      </c>
      <c r="B15" s="6">
        <v>1438117</v>
      </c>
      <c r="C15" s="14">
        <f>+B15/(valores_demogr!$B15/1000000)</f>
        <v>31101.636528828491</v>
      </c>
      <c r="D15" s="14">
        <f>+B15/(valores_demogr!$E15/1000000)</f>
        <v>65088.187771838755</v>
      </c>
      <c r="E15" s="10">
        <f>indices_macro!C17%*valores_macro!B17</f>
        <v>-129289.2926</v>
      </c>
      <c r="F15" s="14">
        <f>+E15/(valores_demogr!$B15/1000000)</f>
        <v>-2796.0927973972598</v>
      </c>
      <c r="G15" s="14">
        <f>+E15/(valores_demogr!$E15/1000000)</f>
        <v>-5851.5445917383649</v>
      </c>
      <c r="H15" s="14">
        <f t="shared" si="0"/>
        <v>-1139346.1882000002</v>
      </c>
      <c r="I15" s="14">
        <f>+H15/(valores_demogr!$B15/1000000)</f>
        <v>-24640.228177472785</v>
      </c>
      <c r="J15" s="14">
        <f>+H15/(valores_demogr!$E15/1000000)</f>
        <v>-51566.026015053256</v>
      </c>
      <c r="K15" s="13">
        <f>+B15*indices_macro!D15%</f>
        <v>569494.33200000005</v>
      </c>
      <c r="L15" s="14">
        <f>+K15/(valores_demogr!$B15/1000000)</f>
        <v>12316.248065416085</v>
      </c>
      <c r="M15" s="14">
        <f>+K15/(valores_demogr!$E15/1000000)</f>
        <v>25774.922357648149</v>
      </c>
      <c r="N15" s="14">
        <f>+indices_macro!E15%*valores_macro!B15</f>
        <v>-122383.7567</v>
      </c>
      <c r="O15" s="5">
        <v>3422239</v>
      </c>
      <c r="P15" s="7">
        <v>9.1999999999999993</v>
      </c>
      <c r="Q15" s="7">
        <v>32.4</v>
      </c>
      <c r="R15" s="11">
        <f>+(1+indices_macro!B15%)*R14</f>
        <v>1.5161304194031875</v>
      </c>
    </row>
    <row r="16" spans="1:18" x14ac:dyDescent="0.2">
      <c r="A16" s="3">
        <v>2009</v>
      </c>
      <c r="B16" s="6">
        <v>1367976</v>
      </c>
      <c r="C16" s="14">
        <f>+B16/(valores_demogr!$B16/1000000)</f>
        <v>29427.305546686217</v>
      </c>
      <c r="D16" s="14">
        <f>+B16/(valores_demogr!$E16/1000000)</f>
        <v>60992.210872676529</v>
      </c>
      <c r="E16" s="10">
        <f>indices_macro!C16%*valores_macro!B16</f>
        <v>-153760.5024</v>
      </c>
      <c r="F16" s="14">
        <f>+E16/(valores_demogr!$B16/1000000)</f>
        <v>-3307.6291434475306</v>
      </c>
      <c r="G16" s="14">
        <f>+E16/(valores_demogr!$E16/1000000)</f>
        <v>-6855.5245020888415</v>
      </c>
      <c r="H16" s="14">
        <f t="shared" si="0"/>
        <v>-1293106.6906000003</v>
      </c>
      <c r="I16" s="14">
        <f>+H16/(valores_demogr!$B16/1000000)</f>
        <v>-27816.749481533629</v>
      </c>
      <c r="J16" s="14">
        <f>+H16/(valores_demogr!$E16/1000000)</f>
        <v>-57654.107933139254</v>
      </c>
      <c r="K16" s="13">
        <f>+B16*indices_macro!D16%</f>
        <v>726395.25600000005</v>
      </c>
      <c r="L16" s="14">
        <f>+K16/(valores_demogr!$B16/1000000)</f>
        <v>15625.899245290382</v>
      </c>
      <c r="M16" s="14">
        <f>+K16/(valores_demogr!$E16/1000000)</f>
        <v>32386.863973391239</v>
      </c>
      <c r="N16" s="14">
        <f>+indices_macro!E16%*valores_macro!B16</f>
        <v>-60190.944000000003</v>
      </c>
      <c r="O16" s="5">
        <v>3355830</v>
      </c>
      <c r="P16" s="7">
        <v>12</v>
      </c>
      <c r="Q16" s="7">
        <v>32.9</v>
      </c>
      <c r="R16" s="11">
        <f>+(1+indices_macro!B16%)*R15</f>
        <v>1.528259462758413</v>
      </c>
    </row>
    <row r="17" spans="1:18" x14ac:dyDescent="0.2">
      <c r="A17" s="3">
        <v>2010</v>
      </c>
      <c r="B17" s="6">
        <v>1362374</v>
      </c>
      <c r="C17" s="14">
        <f>+B17/(valores_demogr!$B17/1000000)</f>
        <v>29193.410571777698</v>
      </c>
      <c r="D17" s="14">
        <f>+B17/(valores_demogr!$E17/1000000)</f>
        <v>59637.110188930325</v>
      </c>
      <c r="E17" s="10">
        <f>indices_macro!C15%*valores_macro!B15</f>
        <v>-65578.13519999999</v>
      </c>
      <c r="F17" s="14">
        <f>+E17/(valores_demogr!$B17/1000000)</f>
        <v>-1405.2304473111988</v>
      </c>
      <c r="G17" s="14">
        <f>+E17/(valores_demogr!$E17/1000000)</f>
        <v>-2870.6437989178962</v>
      </c>
      <c r="H17" s="14">
        <f t="shared" si="0"/>
        <v>-1358684.8258000002</v>
      </c>
      <c r="I17" s="14">
        <f>+H17/(valores_demogr!$B17/1000000)</f>
        <v>-29114.3577000322</v>
      </c>
      <c r="J17" s="14">
        <f>+H17/(valores_demogr!$E17/1000000)</f>
        <v>-59475.618786223327</v>
      </c>
      <c r="K17" s="13">
        <f>+B17*indices_macro!D17%</f>
        <v>821511.522</v>
      </c>
      <c r="L17" s="14">
        <f>+K17/(valores_demogr!$B17/1000000)</f>
        <v>17603.626574781953</v>
      </c>
      <c r="M17" s="14">
        <f>+K17/(valores_demogr!$E17/1000000)</f>
        <v>35961.177443924986</v>
      </c>
      <c r="N17" s="14">
        <f>+indices_macro!E17%*valores_macro!B17</f>
        <v>-69208.599199999997</v>
      </c>
      <c r="O17" s="5">
        <v>3291263</v>
      </c>
      <c r="P17" s="7">
        <v>9.8000000000000007</v>
      </c>
      <c r="Q17" s="7">
        <v>33.5</v>
      </c>
      <c r="R17" s="11">
        <f>+(1+indices_macro!B17%)*R16</f>
        <v>1.5741072466411654</v>
      </c>
    </row>
    <row r="18" spans="1:18" x14ac:dyDescent="0.2">
      <c r="A18" s="3">
        <v>2011</v>
      </c>
      <c r="B18" s="6">
        <v>1312311</v>
      </c>
      <c r="C18" s="14">
        <f>+B18/(valores_demogr!$B18/1000000)</f>
        <v>28029.923224755083</v>
      </c>
      <c r="D18" s="14">
        <f>+B18/(valores_demogr!$E18/1000000)</f>
        <v>57168.354011291558</v>
      </c>
      <c r="E18" s="10">
        <f>indices_macro!C14%*valores_macro!B14</f>
        <v>27288.538399999998</v>
      </c>
      <c r="F18" s="14">
        <f>+E18/(valores_demogr!$B18/1000000)</f>
        <v>582.8615596971913</v>
      </c>
      <c r="G18" s="14">
        <f>+E18/(valores_demogr!$E18/1000000)</f>
        <v>1188.773715759392</v>
      </c>
      <c r="H18" s="14">
        <f t="shared" si="0"/>
        <v>-1331396.2874000003</v>
      </c>
      <c r="I18" s="14">
        <f>+H18/(valores_demogr!$B18/1000000)</f>
        <v>-28437.569842473287</v>
      </c>
      <c r="J18" s="14">
        <f>+H18/(valores_demogr!$E18/1000000)</f>
        <v>-57999.768566599298</v>
      </c>
      <c r="K18" s="13">
        <f>+B18*indices_macro!D18%</f>
        <v>912056.1449999999</v>
      </c>
      <c r="L18" s="14">
        <f>+K18/(valores_demogr!$B18/1000000)</f>
        <v>19480.796641204779</v>
      </c>
      <c r="M18" s="14">
        <f>+K18/(valores_demogr!$E18/1000000)</f>
        <v>39732.006037847626</v>
      </c>
      <c r="N18" s="14">
        <f>+indices_macro!E18%*valores_macro!B18</f>
        <v>-61809.848100000003</v>
      </c>
      <c r="O18" s="5">
        <v>3250576</v>
      </c>
      <c r="P18" s="7">
        <v>8.5</v>
      </c>
      <c r="Q18" s="7">
        <v>34</v>
      </c>
      <c r="R18" s="11">
        <f>+(1+indices_macro!B18%)*R17</f>
        <v>1.6118858205605535</v>
      </c>
    </row>
    <row r="19" spans="1:18" x14ac:dyDescent="0.2">
      <c r="A19" s="3">
        <v>2012</v>
      </c>
      <c r="B19" s="6">
        <v>1242309</v>
      </c>
      <c r="C19" s="14">
        <f>+B19/(valores_demogr!$B19/1000000)</f>
        <v>26586.028172896313</v>
      </c>
      <c r="D19" s="14">
        <f>+B19/(valores_demogr!$E19/1000000)</f>
        <v>54341.373156264759</v>
      </c>
      <c r="E19" s="10">
        <f>indices_macro!C13%*valores_macro!B13</f>
        <v>29474.7628</v>
      </c>
      <c r="F19" s="14">
        <f>+E19/(valores_demogr!$B19/1000000)</f>
        <v>630.77452887344157</v>
      </c>
      <c r="G19" s="14">
        <f>+E19/(valores_demogr!$E19/1000000)</f>
        <v>1289.2920231658882</v>
      </c>
      <c r="H19" s="14">
        <f t="shared" si="0"/>
        <v>-1301921.5246000004</v>
      </c>
      <c r="I19" s="14">
        <f>+H19/(valores_demogr!$B19/1000000)</f>
        <v>-27861.765737763897</v>
      </c>
      <c r="J19" s="14">
        <f>+H19/(valores_demogr!$E19/1000000)</f>
        <v>-56948.958261158659</v>
      </c>
      <c r="K19" s="13">
        <f>+B19*indices_macro!D19%</f>
        <v>1113108.8639999998</v>
      </c>
      <c r="L19" s="14">
        <f>+K19/(valores_demogr!$B19/1000000)</f>
        <v>23821.081242915094</v>
      </c>
      <c r="M19" s="14">
        <f>+K19/(valores_demogr!$E19/1000000)</f>
        <v>48689.870348013217</v>
      </c>
      <c r="N19" s="14">
        <f>+indices_macro!E19%*valores_macro!B19</f>
        <v>-39256.964400000004</v>
      </c>
      <c r="O19" s="5">
        <v>3199617</v>
      </c>
      <c r="P19" s="7">
        <v>8.1</v>
      </c>
      <c r="Q19" s="7">
        <v>34.200000000000003</v>
      </c>
      <c r="R19" s="11">
        <f>+(1+indices_macro!B19%)*R18</f>
        <v>1.6586305093568094</v>
      </c>
    </row>
    <row r="20" spans="1:18" x14ac:dyDescent="0.2">
      <c r="A20" s="3">
        <v>2013</v>
      </c>
      <c r="B20" s="6">
        <v>1195280</v>
      </c>
      <c r="C20" s="14">
        <f>+B20/(valores_demogr!$B20/1000000)</f>
        <v>25698.204464596482</v>
      </c>
      <c r="D20" s="14">
        <f>+B20/(valores_demogr!$E20/1000000)</f>
        <v>52360.718071824704</v>
      </c>
      <c r="E20" s="10">
        <f>indices_macro!C12%*valores_macro!B12</f>
        <v>16377.511500000001</v>
      </c>
      <c r="F20" s="14">
        <f>+E20/(valores_demogr!$B20/1000000)</f>
        <v>352.11217384067351</v>
      </c>
      <c r="G20" s="14">
        <f>+E20/(valores_demogr!$E20/1000000)</f>
        <v>717.43713805097298</v>
      </c>
      <c r="H20" s="14">
        <f t="shared" si="0"/>
        <v>-1285544.0131000003</v>
      </c>
      <c r="I20" s="14">
        <f>+H20/(valores_demogr!$B20/1000000)</f>
        <v>-27638.856917945337</v>
      </c>
      <c r="J20" s="14">
        <f>+H20/(valores_demogr!$E20/1000000)</f>
        <v>-56314.84475507935</v>
      </c>
      <c r="K20" s="13">
        <f>+B20*indices_macro!D20%</f>
        <v>1195280</v>
      </c>
      <c r="L20" s="14">
        <f>+K20/(valores_demogr!$B20/1000000)</f>
        <v>25698.204464596482</v>
      </c>
      <c r="M20" s="14">
        <f>+K20/(valores_demogr!$E20/1000000)</f>
        <v>52360.718071824704</v>
      </c>
      <c r="N20" s="14">
        <f>+indices_macro!E20%*valores_macro!B20</f>
        <v>-19961.175999999999</v>
      </c>
      <c r="O20" s="5">
        <v>3146570</v>
      </c>
      <c r="P20" s="7">
        <v>9.8000000000000007</v>
      </c>
      <c r="Q20" s="7">
        <v>33.700000000000003</v>
      </c>
      <c r="R20" s="11">
        <f>+(1+indices_macro!B20%)*R19</f>
        <v>1.6636064008848797</v>
      </c>
    </row>
    <row r="21" spans="1:18" x14ac:dyDescent="0.2">
      <c r="A21" s="3">
        <v>2014</v>
      </c>
      <c r="B21" s="6">
        <v>1207155</v>
      </c>
      <c r="C21" s="14">
        <f>+B21/(valores_demogr!$B21/1000000)</f>
        <v>25988.510333735096</v>
      </c>
      <c r="D21" s="14">
        <f>+B21/(valores_demogr!$E21/1000000)</f>
        <v>52892.733988528962</v>
      </c>
      <c r="E21" s="10">
        <f>indices_macro!C11%*valores_macro!B11</f>
        <v>-1400.6784</v>
      </c>
      <c r="F21" s="14">
        <f>+E21/(valores_demogr!$B21/1000000)</f>
        <v>-30.154822763141055</v>
      </c>
      <c r="G21" s="14">
        <f>+E21/(valores_demogr!$E21/1000000)</f>
        <v>-61.372160173861985</v>
      </c>
      <c r="H21" s="14">
        <f t="shared" si="0"/>
        <v>-1286944.6915000004</v>
      </c>
      <c r="I21" s="14">
        <f>+H21/(valores_demogr!$B21/1000000)</f>
        <v>-27706.280812317626</v>
      </c>
      <c r="J21" s="14">
        <f>+H21/(valores_demogr!$E21/1000000)</f>
        <v>-56388.801127824503</v>
      </c>
      <c r="K21" s="13">
        <f>+B21*indices_macro!D21%</f>
        <v>1260269.82</v>
      </c>
      <c r="L21" s="14">
        <f>+K21/(valores_demogr!$B21/1000000)</f>
        <v>27132.004788419443</v>
      </c>
      <c r="M21" s="14">
        <f>+K21/(valores_demogr!$E21/1000000)</f>
        <v>55220.014284024241</v>
      </c>
      <c r="N21" s="14">
        <f>+indices_macro!E21%*valores_macro!B21</f>
        <v>-30058.159500000002</v>
      </c>
      <c r="O21" s="5">
        <v>3119310</v>
      </c>
      <c r="P21" s="7">
        <v>10.199999999999999</v>
      </c>
      <c r="Q21" s="7">
        <v>34.700000000000003</v>
      </c>
      <c r="R21" s="11">
        <f>+(1+indices_macro!B21%)*R20</f>
        <v>1.6469703368760309</v>
      </c>
    </row>
    <row r="22" spans="1:18" x14ac:dyDescent="0.2">
      <c r="A22" s="3">
        <v>2015</v>
      </c>
      <c r="B22" s="6">
        <v>1275874</v>
      </c>
      <c r="C22" s="14">
        <f>+B22/(valores_demogr!$B22/1000000)</f>
        <v>27473.541776902759</v>
      </c>
      <c r="D22" s="14">
        <f>+B22/(valores_demogr!$E22/1000000)</f>
        <v>55869.211097877109</v>
      </c>
      <c r="E22" s="10">
        <f>indices_macro!C10%*valores_macro!B10</f>
        <v>-4511.3915000000006</v>
      </c>
      <c r="F22" s="14">
        <f>+E22/(valores_demogr!$B22/1000000)</f>
        <v>-97.144312719919071</v>
      </c>
      <c r="G22" s="14">
        <f>+E22/(valores_demogr!$E22/1000000)</f>
        <v>-197.54919691025015</v>
      </c>
      <c r="H22" s="14">
        <f t="shared" si="0"/>
        <v>-1291456.0830000003</v>
      </c>
      <c r="I22" s="14">
        <f>+H22/(valores_demogr!$B22/1000000)</f>
        <v>-27809.072564638598</v>
      </c>
      <c r="J22" s="14">
        <f>+H22/(valores_demogr!$E22/1000000)</f>
        <v>-56551.534496952299</v>
      </c>
      <c r="K22" s="13">
        <f>+B22*indices_macro!D22%</f>
        <v>1307770.8499999999</v>
      </c>
      <c r="L22" s="14">
        <f>+K22/(valores_demogr!$B22/1000000)</f>
        <v>28160.380321325327</v>
      </c>
      <c r="M22" s="14">
        <f>+K22/(valores_demogr!$E22/1000000)</f>
        <v>57265.94137532403</v>
      </c>
      <c r="N22" s="14">
        <f>+indices_macro!E22%*valores_macro!B22</f>
        <v>-31258.913</v>
      </c>
      <c r="O22" s="5">
        <v>3186878</v>
      </c>
      <c r="P22" s="7">
        <v>9.5</v>
      </c>
      <c r="Q22" s="7">
        <v>34.6</v>
      </c>
      <c r="R22" s="11">
        <f>+(1+indices_macro!B22%)*R21</f>
        <v>1.6469703368760309</v>
      </c>
    </row>
    <row r="23" spans="1:18" x14ac:dyDescent="0.2">
      <c r="A23" s="3">
        <v>2016</v>
      </c>
      <c r="B23" s="6">
        <v>1317955</v>
      </c>
      <c r="C23" s="14">
        <f>+B23/(valores_demogr!$B23/1000000)</f>
        <v>28326.646791342126</v>
      </c>
      <c r="D23" s="14">
        <f>+B23/(valores_demogr!$E23/1000000)</f>
        <v>57504.406785577157</v>
      </c>
      <c r="E23" s="10">
        <f>indices_macro!C9%*valores_macro!B9</f>
        <v>-3671.7484999999997</v>
      </c>
      <c r="F23" s="14">
        <f>+E23/(valores_demogr!$B23/1000000)</f>
        <v>-78.916444693589881</v>
      </c>
      <c r="G23" s="14">
        <f>+E23/(valores_demogr!$E23/1000000)</f>
        <v>-160.20404289853047</v>
      </c>
      <c r="H23" s="14">
        <f t="shared" si="0"/>
        <v>-1295127.8315000003</v>
      </c>
      <c r="I23" s="14">
        <f>+H23/(valores_demogr!$B23/1000000)</f>
        <v>-27836.025230404201</v>
      </c>
      <c r="J23" s="14">
        <f>+H23/(valores_demogr!$E23/1000000)</f>
        <v>-56508.422261684544</v>
      </c>
      <c r="K23" s="13">
        <f>+B23*indices_macro!D23%</f>
        <v>1344314.1</v>
      </c>
      <c r="L23" s="14">
        <f>+K23/(valores_demogr!$B23/1000000)</f>
        <v>28893.179727168968</v>
      </c>
      <c r="M23" s="14">
        <f>+K23/(valores_demogr!$E23/1000000)</f>
        <v>58654.494921288708</v>
      </c>
      <c r="N23" s="14">
        <f>+indices_macro!E23%*valores_macro!B23</f>
        <v>-22273.439499999997</v>
      </c>
      <c r="O23" s="5">
        <v>3236582</v>
      </c>
      <c r="P23" s="7">
        <v>9.3000000000000007</v>
      </c>
      <c r="Q23" s="7">
        <v>34.5</v>
      </c>
      <c r="R23" s="11">
        <f>+(1+indices_macro!B23%)*R22</f>
        <v>1.6733218622660475</v>
      </c>
    </row>
    <row r="24" spans="1:18" x14ac:dyDescent="0.2">
      <c r="A24" s="3">
        <v>2017</v>
      </c>
      <c r="B24" s="6">
        <v>1351558</v>
      </c>
      <c r="C24" s="14">
        <f>+B24/(valores_demogr!$B24/1000000)</f>
        <v>28967.059276533571</v>
      </c>
      <c r="D24" s="14">
        <f>+B24/(valores_demogr!$E24/1000000)</f>
        <v>58817.605793165872</v>
      </c>
      <c r="E24" s="10">
        <f>indices_macro!C8%*valores_macro!B8</f>
        <v>-5117.679000000001</v>
      </c>
      <c r="F24" s="14">
        <f>+E24/(valores_demogr!$B24/1000000)</f>
        <v>-109.68386924665539</v>
      </c>
      <c r="G24" s="14">
        <f>+E24/(valores_demogr!$E24/1000000)</f>
        <v>-222.71306595644685</v>
      </c>
      <c r="H24" s="14">
        <f t="shared" si="0"/>
        <v>-1300245.5105000003</v>
      </c>
      <c r="I24" s="14">
        <f>+H24/(valores_demogr!$B24/1000000)</f>
        <v>-27867.312225372614</v>
      </c>
      <c r="J24" s="14">
        <f>+H24/(valores_demogr!$E24/1000000)</f>
        <v>-56584.569712082455</v>
      </c>
      <c r="K24" s="13">
        <f>+B24*indices_macro!D24%</f>
        <v>1367776.696</v>
      </c>
      <c r="L24" s="14">
        <f>+K24/(valores_demogr!$B24/1000000)</f>
        <v>29314.663987851975</v>
      </c>
      <c r="M24" s="14">
        <f>+K24/(valores_demogr!$E24/1000000)</f>
        <v>59523.417062683868</v>
      </c>
      <c r="N24" s="14">
        <f>+indices_macro!E24%*valores_macro!B24</f>
        <v>-32978.015199999994</v>
      </c>
      <c r="O24" s="5">
        <v>3282346</v>
      </c>
      <c r="P24" s="7">
        <v>10</v>
      </c>
      <c r="Q24" s="7">
        <v>34.1</v>
      </c>
      <c r="R24" s="11">
        <f>+(1+indices_macro!B24%)*R23</f>
        <v>1.6917284027509738</v>
      </c>
    </row>
    <row r="25" spans="1:18" x14ac:dyDescent="0.2">
      <c r="A25" s="3">
        <v>2018</v>
      </c>
      <c r="B25" s="6">
        <v>1385129</v>
      </c>
      <c r="C25" s="14">
        <f>+B25/(valores_demogr!$B25/1000000)</f>
        <v>29510.348539086172</v>
      </c>
      <c r="D25" s="14">
        <f>+B25/(valores_demogr!$E25/1000000)</f>
        <v>60013.21467565553</v>
      </c>
      <c r="E25" s="10">
        <f>indices_macro!C7%*valores_macro!B7</f>
        <v>-12674.937199999998</v>
      </c>
      <c r="F25" s="14">
        <f>+E25/(valores_demogr!$B25/1000000)</f>
        <v>-270.04114019923696</v>
      </c>
      <c r="G25" s="14">
        <f>+E25/(valores_demogr!$E25/1000000)</f>
        <v>-549.16453787629325</v>
      </c>
      <c r="H25" s="14">
        <f t="shared" si="0"/>
        <v>-1312920.4477000004</v>
      </c>
      <c r="I25" s="14">
        <f>+H25/(valores_demogr!$B25/1000000)</f>
        <v>-27971.93619924214</v>
      </c>
      <c r="J25" s="14">
        <f>+H25/(valores_demogr!$E25/1000000)</f>
        <v>-56884.648779917174</v>
      </c>
      <c r="K25" s="13">
        <f>+B25*indices_macro!D25%</f>
        <v>1382358.7420000001</v>
      </c>
      <c r="L25" s="14">
        <f>+K25/(valores_demogr!$B25/1000000)</f>
        <v>29451.327842007999</v>
      </c>
      <c r="M25" s="14">
        <f>+K25/(valores_demogr!$E25/1000000)</f>
        <v>59893.188246304228</v>
      </c>
      <c r="N25" s="14">
        <f>+indices_macro!E25%*valores_macro!B25</f>
        <v>-42523.460299999999</v>
      </c>
      <c r="O25" s="5">
        <v>3337646</v>
      </c>
      <c r="P25" s="7">
        <v>8.6999999999999993</v>
      </c>
      <c r="Q25" s="7">
        <v>33.200000000000003</v>
      </c>
      <c r="R25" s="11">
        <f>+(1+indices_macro!B25%)*R24</f>
        <v>1.7120291435839856</v>
      </c>
    </row>
    <row r="26" spans="1:18" x14ac:dyDescent="0.2">
      <c r="A26" s="3">
        <v>2019</v>
      </c>
      <c r="B26" s="6">
        <v>1415485</v>
      </c>
      <c r="C26" s="14">
        <f>+B26/(valores_demogr!$B26/1000000)</f>
        <v>29905.067148837374</v>
      </c>
      <c r="D26" s="14">
        <f>+B26/(valores_demogr!$E26/1000000)</f>
        <v>60809.411704056292</v>
      </c>
      <c r="E26" s="10">
        <f>indices_macro!C6%*valores_macro!B6</f>
        <v>-12815.412399999999</v>
      </c>
      <c r="F26" s="14">
        <f>+E26/(valores_demogr!$B26/1000000)</f>
        <v>-270.75226396750452</v>
      </c>
      <c r="G26" s="14">
        <f>+E26/(valores_demogr!$E26/1000000)</f>
        <v>-550.55171110175536</v>
      </c>
      <c r="H26" s="14">
        <f t="shared" si="0"/>
        <v>-1325735.8601000004</v>
      </c>
      <c r="I26" s="14">
        <f>+H26/(valores_demogr!$B26/1000000)</f>
        <v>-28008.929743453435</v>
      </c>
      <c r="J26" s="14">
        <f>+H26/(valores_demogr!$E26/1000000)</f>
        <v>-56953.777488035623</v>
      </c>
      <c r="K26" s="13">
        <f>+B26*indices_macro!D26%</f>
        <v>1382928.845</v>
      </c>
      <c r="L26" s="14">
        <f>+K26/(valores_demogr!$B26/1000000)</f>
        <v>29217.250604414116</v>
      </c>
      <c r="M26" s="14">
        <f>+K26/(valores_demogr!$E26/1000000)</f>
        <v>59410.795234862999</v>
      </c>
      <c r="N26" s="14">
        <f>+indices_macro!E26%*valores_macro!B26</f>
        <v>-39067.385999999999</v>
      </c>
      <c r="O26" s="5">
        <v>3363197</v>
      </c>
      <c r="P26" s="7">
        <v>9.6</v>
      </c>
      <c r="Q26" s="7">
        <v>33</v>
      </c>
      <c r="R26" s="11">
        <f>+(1+indices_macro!B26%)*R25</f>
        <v>1.7257253767326575</v>
      </c>
    </row>
    <row r="27" spans="1:18" x14ac:dyDescent="0.2">
      <c r="A27" s="3">
        <v>2020</v>
      </c>
      <c r="B27" s="6">
        <v>1264806</v>
      </c>
      <c r="C27" s="14">
        <f>+B27/(valores_demogr!$B27/1000000)</f>
        <v>26684.405551671836</v>
      </c>
      <c r="D27" s="14">
        <f>+B27/(valores_demogr!$E27/1000000)</f>
        <v>54008.60854192821</v>
      </c>
      <c r="E27" s="10">
        <f>indices_macro!C5%*valores_macro!B5</f>
        <v>-25724.161500000002</v>
      </c>
      <c r="F27" s="14">
        <f>+E27/(valores_demogr!$B27/1000000)</f>
        <v>-542.71877105477279</v>
      </c>
      <c r="G27" s="14">
        <f>+E27/(valores_demogr!$E27/1000000)</f>
        <v>-1098.4500140913633</v>
      </c>
      <c r="H27" s="14">
        <f t="shared" si="0"/>
        <v>-1351460.0216000003</v>
      </c>
      <c r="I27" s="14">
        <f>+H27/(valores_demogr!$B27/1000000)</f>
        <v>-28512.599800479748</v>
      </c>
      <c r="J27" s="14">
        <f>+H27/(valores_demogr!$E27/1000000)</f>
        <v>-57708.830655974321</v>
      </c>
      <c r="K27" s="13">
        <f>+B27*indices_macro!D27%</f>
        <v>1508913.558</v>
      </c>
      <c r="L27" s="14">
        <f>+K27/(valores_demogr!$B27/1000000)</f>
        <v>31834.495823144498</v>
      </c>
      <c r="M27" s="14">
        <f>+K27/(valores_demogr!$E27/1000000)</f>
        <v>64432.269990520348</v>
      </c>
      <c r="N27" s="14">
        <f>+indices_macro!E27%*valores_macro!B27</f>
        <v>-17580.803400000001</v>
      </c>
      <c r="O27" s="5">
        <v>3404428</v>
      </c>
      <c r="P27" s="7">
        <v>8.1999999999999993</v>
      </c>
      <c r="Q27" s="7">
        <v>32.1</v>
      </c>
      <c r="R27" s="11">
        <f>+(1+indices_macro!B27%)*R26</f>
        <v>1.7170967498489942</v>
      </c>
    </row>
    <row r="28" spans="1:18" x14ac:dyDescent="0.2">
      <c r="A28" s="3">
        <v>2021</v>
      </c>
      <c r="B28" s="6">
        <v>1390779</v>
      </c>
      <c r="C28" s="14">
        <f>+B28/(valores_demogr!$B28/1000000)</f>
        <v>29320.981960767182</v>
      </c>
      <c r="D28" s="14">
        <f>+B28/(valores_demogr!$E28/1000000)</f>
        <v>59298.158096699924</v>
      </c>
      <c r="E28" s="10">
        <f>indices_macro!C4%*valores_macro!B4</f>
        <v>-35973.771799999995</v>
      </c>
      <c r="F28" s="14">
        <f>+E28/(valores_demogr!$B28/1000000)</f>
        <v>-758.41403559340131</v>
      </c>
      <c r="G28" s="14">
        <f>+E28/(valores_demogr!$E28/1000000)</f>
        <v>-1533.8011341349022</v>
      </c>
      <c r="H28" s="14">
        <f t="shared" si="0"/>
        <v>-1387433.7934000003</v>
      </c>
      <c r="I28" s="14">
        <f>+H28/(valores_demogr!$B28/1000000)</f>
        <v>-29250.456922372421</v>
      </c>
      <c r="J28" s="14">
        <f>+H28/(valores_demogr!$E28/1000000)</f>
        <v>-59155.529692163393</v>
      </c>
      <c r="K28" s="13">
        <f>+B28*indices_macro!D28%</f>
        <v>1609131.3030000001</v>
      </c>
      <c r="L28" s="14">
        <f>+K28/(valores_demogr!$B28/1000000)</f>
        <v>33924.376128607633</v>
      </c>
      <c r="M28" s="14">
        <f>+K28/(valores_demogr!$E28/1000000)</f>
        <v>68607.968917881808</v>
      </c>
      <c r="N28" s="14">
        <f>+indices_macro!E28%*valores_macro!B28</f>
        <v>-38246.422500000001</v>
      </c>
      <c r="O28" s="5">
        <v>3366570</v>
      </c>
      <c r="P28" s="7">
        <v>8.6999999999999993</v>
      </c>
      <c r="Q28" s="7">
        <v>33</v>
      </c>
      <c r="R28" s="11">
        <f>+(1+indices_macro!B28%)*R27</f>
        <v>1.8287080385891787</v>
      </c>
    </row>
    <row r="29" spans="1:18" x14ac:dyDescent="0.2">
      <c r="A29" s="3">
        <v>2022</v>
      </c>
      <c r="B29" s="6">
        <v>1454287</v>
      </c>
      <c r="C29" s="14">
        <f>+B29/(valores_demogr!$B29/1000000)</f>
        <v>30243.861536154425</v>
      </c>
      <c r="D29" s="14">
        <f>+B29/(valores_demogr!$E29/1000000)</f>
        <v>61403.256179224969</v>
      </c>
      <c r="E29" s="10">
        <f>indices_macro!C3%*valores_macro!B3</f>
        <v>-53190.476699999999</v>
      </c>
      <c r="F29" s="14">
        <f>+E29/(valores_demogr!$B29/1000000)</f>
        <v>-1106.1677731815303</v>
      </c>
      <c r="G29" s="14">
        <f>+E29/(valores_demogr!$E29/1000000)</f>
        <v>-2245.8211254760558</v>
      </c>
      <c r="H29" s="14">
        <f t="shared" si="0"/>
        <v>-1440624.2701000003</v>
      </c>
      <c r="I29" s="14">
        <f>+H29/(valores_demogr!$B29/1000000)</f>
        <v>-29959.726622412181</v>
      </c>
      <c r="J29" s="14">
        <f>+H29/(valores_demogr!$E29/1000000)</f>
        <v>-60826.385104837835</v>
      </c>
      <c r="K29" s="13">
        <f>+B29*indices_macro!D29%</f>
        <v>1589535.6909999999</v>
      </c>
      <c r="L29" s="14">
        <f>+K29/(valores_demogr!$B29/1000000)</f>
        <v>33056.540659016784</v>
      </c>
      <c r="M29" s="14">
        <f>+K29/(valores_demogr!$E29/1000000)</f>
        <v>67113.75900389289</v>
      </c>
      <c r="N29" s="14">
        <f>+indices_macro!E29%*valores_macro!B29</f>
        <v>-79258.641499999998</v>
      </c>
      <c r="O29" s="5">
        <v>3430663</v>
      </c>
      <c r="P29" s="7">
        <v>8.3000000000000007</v>
      </c>
      <c r="Q29" s="7">
        <v>32</v>
      </c>
      <c r="R29" s="11">
        <f>+(1+indices_macro!B29%)*R28</f>
        <v>1.9329443967887618</v>
      </c>
    </row>
    <row r="30" spans="1:18" x14ac:dyDescent="0.2">
      <c r="A30" s="3">
        <v>2023</v>
      </c>
      <c r="B30" s="6">
        <v>1497761</v>
      </c>
      <c r="C30" s="14">
        <f>+B30/(valores_demogr!$B30/1000000)</f>
        <v>30805.643679994289</v>
      </c>
      <c r="D30" s="14">
        <f>+B30/(valores_demogr!$E30/1000000)</f>
        <v>62184.399106527497</v>
      </c>
      <c r="E30" s="10">
        <f>indices_macro!C2%*valores_macro!B2</f>
        <v>-60407.574500000002</v>
      </c>
      <c r="F30" s="14">
        <f>+E30/(valores_demogr!$B30/1000000)</f>
        <v>-1242.4507085040332</v>
      </c>
      <c r="G30" s="14">
        <f>+E30/(valores_demogr!$E30/1000000)</f>
        <v>-2508.0161132285416</v>
      </c>
      <c r="H30" s="14">
        <f t="shared" si="0"/>
        <v>-1501031.8446000004</v>
      </c>
      <c r="I30" s="14">
        <f>+H30/(valores_demogr!$B30/1000000)</f>
        <v>-30872.917746604548</v>
      </c>
      <c r="J30" s="14">
        <f>+H30/(valores_demogr!$E30/1000000)</f>
        <v>-62320.198814239113</v>
      </c>
      <c r="K30" s="13">
        <f>+B30*indices_macro!D30%</f>
        <v>1575644.5720000002</v>
      </c>
      <c r="L30" s="14">
        <f>+K30/(valores_demogr!$B30/1000000)</f>
        <v>32407.537151353998</v>
      </c>
      <c r="M30" s="14">
        <f>+K30/(valores_demogr!$E30/1000000)</f>
        <v>65417.98786006694</v>
      </c>
      <c r="N30" s="14">
        <f>+indices_macro!E30%*valores_macro!B30</f>
        <v>-43734.621200000001</v>
      </c>
      <c r="O30" s="5">
        <v>3207580</v>
      </c>
      <c r="P30" s="7">
        <v>10.1</v>
      </c>
      <c r="Q30" s="7">
        <v>31.5</v>
      </c>
      <c r="R30" s="11">
        <f>+(1+indices_macro!B30%)*R29</f>
        <v>1.9928656730892134</v>
      </c>
    </row>
    <row r="31" spans="1:18" x14ac:dyDescent="0.2">
      <c r="P31" s="2"/>
    </row>
    <row r="32" spans="1:18" x14ac:dyDescent="0.2">
      <c r="P32" s="2"/>
    </row>
    <row r="33" spans="3:16" x14ac:dyDescent="0.2">
      <c r="P33" s="2"/>
    </row>
    <row r="34" spans="3:16" x14ac:dyDescent="0.2">
      <c r="C34" s="13"/>
      <c r="D34" s="35"/>
      <c r="P34" s="2"/>
    </row>
    <row r="35" spans="3:16" x14ac:dyDescent="0.2">
      <c r="P35" s="2"/>
    </row>
    <row r="36" spans="3:16" x14ac:dyDescent="0.2">
      <c r="P36" s="2"/>
    </row>
    <row r="37" spans="3:16" x14ac:dyDescent="0.2">
      <c r="P37" s="2"/>
    </row>
    <row r="38" spans="3:16" x14ac:dyDescent="0.2">
      <c r="P38" s="2"/>
    </row>
    <row r="39" spans="3:16" x14ac:dyDescent="0.2">
      <c r="P39" s="2"/>
    </row>
    <row r="40" spans="3:16" x14ac:dyDescent="0.2">
      <c r="P40" s="2"/>
    </row>
    <row r="41" spans="3:16" x14ac:dyDescent="0.2">
      <c r="P41" s="2"/>
    </row>
    <row r="42" spans="3:16" x14ac:dyDescent="0.2">
      <c r="P42" s="2"/>
    </row>
    <row r="43" spans="3:16" x14ac:dyDescent="0.2">
      <c r="P43" s="2"/>
    </row>
    <row r="44" spans="3:16" x14ac:dyDescent="0.2">
      <c r="P44" s="2"/>
    </row>
    <row r="45" spans="3:16" x14ac:dyDescent="0.2">
      <c r="P45" s="2"/>
    </row>
    <row r="46" spans="3:16" x14ac:dyDescent="0.2">
      <c r="P46" s="2"/>
    </row>
    <row r="47" spans="3:16" x14ac:dyDescent="0.2">
      <c r="P47" s="2"/>
    </row>
    <row r="48" spans="3:16" x14ac:dyDescent="0.2">
      <c r="P48" s="2"/>
    </row>
    <row r="49" spans="16:16" x14ac:dyDescent="0.2">
      <c r="P49" s="2"/>
    </row>
    <row r="50" spans="16:16" x14ac:dyDescent="0.2">
      <c r="P50" s="2"/>
    </row>
    <row r="51" spans="16:16" x14ac:dyDescent="0.2">
      <c r="P51" s="2"/>
    </row>
    <row r="52" spans="16:16" x14ac:dyDescent="0.2">
      <c r="P52" s="2"/>
    </row>
  </sheetData>
  <sortState xmlns:xlrd2="http://schemas.microsoft.com/office/spreadsheetml/2017/richdata2" ref="A2:O30">
    <sortCondition ref="A2:A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7CD8-6767-144C-BE26-55A57B7F61BF}">
  <dimension ref="A1:U609"/>
  <sheetViews>
    <sheetView workbookViewId="0">
      <selection activeCell="E2" sqref="E2"/>
    </sheetView>
  </sheetViews>
  <sheetFormatPr baseColWidth="10" defaultRowHeight="16" x14ac:dyDescent="0.2"/>
  <cols>
    <col min="2" max="2" width="14" bestFit="1" customWidth="1"/>
    <col min="3" max="3" width="13.1640625" style="18" bestFit="1" customWidth="1"/>
    <col min="4" max="4" width="17.1640625" style="18" bestFit="1" customWidth="1"/>
    <col min="5" max="5" width="14" style="18" bestFit="1" customWidth="1"/>
    <col min="6" max="6" width="17.5" style="18" bestFit="1" customWidth="1"/>
    <col min="7" max="7" width="18" style="18" bestFit="1" customWidth="1"/>
    <col min="8" max="8" width="25.5" bestFit="1" customWidth="1"/>
  </cols>
  <sheetData>
    <row r="1" spans="1:21" x14ac:dyDescent="0.2">
      <c r="A1" s="3" t="s">
        <v>0</v>
      </c>
      <c r="B1" s="15" t="s">
        <v>36</v>
      </c>
      <c r="C1" s="15" t="s">
        <v>7</v>
      </c>
      <c r="D1" s="15" t="s">
        <v>5</v>
      </c>
      <c r="E1" s="15" t="s">
        <v>6</v>
      </c>
      <c r="F1" s="15" t="s">
        <v>9</v>
      </c>
      <c r="G1" s="15" t="s">
        <v>10</v>
      </c>
      <c r="H1" s="15" t="s">
        <v>13</v>
      </c>
      <c r="M1" s="1"/>
      <c r="N1" s="1"/>
      <c r="O1" s="1"/>
    </row>
    <row r="2" spans="1:21" x14ac:dyDescent="0.2">
      <c r="A2" s="3">
        <v>1995</v>
      </c>
      <c r="B2" s="30">
        <v>39808374</v>
      </c>
      <c r="C2" s="16">
        <v>11118436.832956934</v>
      </c>
      <c r="D2" s="16">
        <v>1624110</v>
      </c>
      <c r="E2" s="17">
        <v>16790600</v>
      </c>
      <c r="F2" s="25">
        <v>1721000</v>
      </c>
      <c r="G2" s="25">
        <v>779400</v>
      </c>
      <c r="H2" s="14">
        <v>8041000</v>
      </c>
      <c r="I2" s="12"/>
      <c r="K2" s="2"/>
      <c r="M2" s="1"/>
      <c r="N2" s="32"/>
      <c r="O2" s="2"/>
      <c r="Q2" s="34"/>
      <c r="R2" s="1"/>
      <c r="S2" s="1"/>
      <c r="T2" s="1"/>
      <c r="U2" s="1"/>
    </row>
    <row r="3" spans="1:21" x14ac:dyDescent="0.2">
      <c r="A3" s="3">
        <v>1996</v>
      </c>
      <c r="B3" s="8">
        <v>39971329</v>
      </c>
      <c r="C3" s="16">
        <v>11395042.329048451</v>
      </c>
      <c r="D3" s="16">
        <v>1737578.5</v>
      </c>
      <c r="E3" s="17">
        <v>16883600</v>
      </c>
      <c r="F3" s="25">
        <v>1752600</v>
      </c>
      <c r="G3" s="25">
        <v>967100</v>
      </c>
      <c r="H3" s="14">
        <v>8154000</v>
      </c>
      <c r="I3" s="12"/>
      <c r="K3" s="2"/>
      <c r="M3" s="1"/>
      <c r="N3" s="32"/>
      <c r="O3" s="2"/>
      <c r="Q3" s="34"/>
      <c r="R3" s="1"/>
      <c r="S3" s="32"/>
      <c r="T3" s="32"/>
      <c r="U3" s="2"/>
    </row>
    <row r="4" spans="1:21" x14ac:dyDescent="0.2">
      <c r="A4" s="3">
        <v>1997</v>
      </c>
      <c r="B4" s="8">
        <v>40143449</v>
      </c>
      <c r="C4" s="16">
        <v>11737534.017853705</v>
      </c>
      <c r="D4" s="16">
        <v>2179054.5</v>
      </c>
      <c r="E4" s="17">
        <v>17067500</v>
      </c>
      <c r="F4" s="25">
        <v>1790900</v>
      </c>
      <c r="G4" s="25">
        <v>1362200</v>
      </c>
      <c r="H4" s="14">
        <v>8711000</v>
      </c>
      <c r="I4" s="12"/>
      <c r="K4" s="2"/>
      <c r="M4" s="1"/>
      <c r="N4" s="32"/>
      <c r="O4" s="2"/>
      <c r="Q4" s="34"/>
      <c r="R4" s="1"/>
      <c r="S4" s="32"/>
      <c r="T4" s="32"/>
      <c r="U4" s="2"/>
    </row>
    <row r="5" spans="1:21" x14ac:dyDescent="0.2">
      <c r="A5" s="3">
        <v>1998</v>
      </c>
      <c r="B5" s="8">
        <v>40303568</v>
      </c>
      <c r="C5" s="16">
        <v>11844287.691367179</v>
      </c>
      <c r="D5" s="16">
        <v>1948836.0000000002</v>
      </c>
      <c r="E5" s="17">
        <v>17291500</v>
      </c>
      <c r="F5" s="25">
        <v>1808600</v>
      </c>
      <c r="G5" s="25">
        <v>1335700</v>
      </c>
      <c r="H5" s="14">
        <v>8464000</v>
      </c>
      <c r="I5" s="12"/>
      <c r="K5" s="2"/>
      <c r="M5" s="1"/>
      <c r="N5" s="32"/>
      <c r="O5" s="2"/>
      <c r="Q5" s="34"/>
      <c r="R5" s="1"/>
      <c r="S5" s="32"/>
      <c r="T5" s="32"/>
      <c r="U5" s="2"/>
    </row>
    <row r="6" spans="1:21" x14ac:dyDescent="0.2">
      <c r="A6" s="3">
        <v>1999</v>
      </c>
      <c r="B6" s="8">
        <v>40470182</v>
      </c>
      <c r="C6" s="16">
        <v>12897885.073125234</v>
      </c>
      <c r="D6" s="16">
        <v>2169171</v>
      </c>
      <c r="E6" s="17">
        <v>17587400</v>
      </c>
      <c r="F6" s="25">
        <v>1985700</v>
      </c>
      <c r="G6" s="25">
        <v>1607600</v>
      </c>
      <c r="H6" s="14">
        <v>8377000</v>
      </c>
      <c r="I6" s="12"/>
      <c r="K6" s="2"/>
      <c r="M6" s="1"/>
      <c r="N6" s="32"/>
      <c r="O6" s="2"/>
      <c r="Q6" s="34"/>
      <c r="R6" s="1"/>
      <c r="S6" s="32"/>
      <c r="T6" s="32"/>
      <c r="U6" s="2"/>
    </row>
    <row r="7" spans="1:21" x14ac:dyDescent="0.2">
      <c r="A7" s="3">
        <v>2000</v>
      </c>
      <c r="B7" s="8">
        <v>40665545</v>
      </c>
      <c r="C7" s="16">
        <v>12934900.115442134</v>
      </c>
      <c r="D7" s="16">
        <v>2509803.8000000003</v>
      </c>
      <c r="E7" s="17">
        <v>18066900</v>
      </c>
      <c r="F7" s="25">
        <v>2015800</v>
      </c>
      <c r="G7" s="25">
        <v>1983900</v>
      </c>
      <c r="H7" s="14">
        <v>8743000</v>
      </c>
      <c r="I7" s="12"/>
      <c r="K7" s="2"/>
      <c r="M7" s="1"/>
      <c r="N7" s="32"/>
      <c r="O7" s="2"/>
      <c r="Q7" s="34"/>
      <c r="R7" s="1"/>
      <c r="S7" s="32"/>
      <c r="T7" s="32"/>
      <c r="U7" s="2"/>
    </row>
    <row r="8" spans="1:21" x14ac:dyDescent="0.2">
      <c r="A8" s="3">
        <v>2001</v>
      </c>
      <c r="B8" s="8">
        <v>41035271</v>
      </c>
      <c r="C8" s="16">
        <v>14808614.147151461</v>
      </c>
      <c r="D8" s="16">
        <v>2945520.6</v>
      </c>
      <c r="E8" s="17">
        <v>18675500</v>
      </c>
      <c r="F8" s="25">
        <v>2337200</v>
      </c>
      <c r="G8" s="25">
        <v>2480600</v>
      </c>
      <c r="H8" s="14">
        <v>8864000</v>
      </c>
      <c r="I8" s="12"/>
      <c r="K8" s="2"/>
      <c r="M8" s="1"/>
      <c r="N8" s="32"/>
      <c r="O8" s="2"/>
      <c r="Q8" s="34"/>
      <c r="R8" s="1"/>
      <c r="S8" s="32"/>
      <c r="T8" s="32"/>
      <c r="U8" s="2"/>
    </row>
    <row r="9" spans="1:21" x14ac:dyDescent="0.2">
      <c r="A9" s="3">
        <v>2002</v>
      </c>
      <c r="B9" s="8">
        <v>41827836</v>
      </c>
      <c r="C9" s="16">
        <v>16991900</v>
      </c>
      <c r="D9" s="16">
        <v>2232000</v>
      </c>
      <c r="E9" s="17">
        <v>19162300</v>
      </c>
      <c r="F9" s="14">
        <v>2672700</v>
      </c>
      <c r="G9" s="14">
        <v>14319200</v>
      </c>
      <c r="H9" s="14">
        <v>9328000</v>
      </c>
      <c r="I9" s="12"/>
      <c r="K9" s="2"/>
      <c r="M9" s="1"/>
      <c r="N9" s="32"/>
      <c r="O9" s="2"/>
      <c r="Q9" s="34"/>
      <c r="R9" s="1"/>
      <c r="S9" s="32"/>
      <c r="T9" s="32"/>
      <c r="U9" s="2"/>
    </row>
    <row r="10" spans="1:21" x14ac:dyDescent="0.2">
      <c r="A10" s="3">
        <v>2003</v>
      </c>
      <c r="B10" s="8">
        <v>42547454</v>
      </c>
      <c r="C10" s="16">
        <v>17740500</v>
      </c>
      <c r="D10" s="16">
        <v>2276000</v>
      </c>
      <c r="E10" s="17">
        <v>19508400</v>
      </c>
      <c r="F10" s="14">
        <v>2764800</v>
      </c>
      <c r="G10" s="14">
        <v>14975700</v>
      </c>
      <c r="H10" s="14">
        <v>9403000</v>
      </c>
      <c r="I10" s="12"/>
      <c r="K10" s="2"/>
      <c r="M10" s="1"/>
      <c r="N10" s="32"/>
      <c r="O10" s="2"/>
      <c r="Q10" s="34"/>
      <c r="R10" s="1"/>
      <c r="S10" s="32"/>
      <c r="T10" s="32"/>
      <c r="U10" s="2"/>
    </row>
    <row r="11" spans="1:21" x14ac:dyDescent="0.2">
      <c r="A11" s="3">
        <v>2004</v>
      </c>
      <c r="B11" s="8">
        <v>43296335</v>
      </c>
      <c r="C11" s="16">
        <v>18490900</v>
      </c>
      <c r="D11" s="16">
        <v>2176000</v>
      </c>
      <c r="E11" s="17">
        <v>20088800</v>
      </c>
      <c r="F11" s="14">
        <v>2918600</v>
      </c>
      <c r="G11" s="14">
        <v>15572300</v>
      </c>
      <c r="H11" s="14">
        <v>8510000</v>
      </c>
      <c r="I11" s="12"/>
      <c r="K11" s="2"/>
      <c r="M11" s="1"/>
      <c r="N11" s="32"/>
      <c r="O11" s="2"/>
      <c r="Q11" s="34"/>
      <c r="R11" s="1"/>
      <c r="S11" s="32"/>
      <c r="T11" s="32"/>
      <c r="U11" s="2"/>
    </row>
    <row r="12" spans="1:21" x14ac:dyDescent="0.2">
      <c r="A12" s="3">
        <v>2005</v>
      </c>
      <c r="B12" s="8">
        <v>44009969</v>
      </c>
      <c r="C12" s="16">
        <v>19509200</v>
      </c>
      <c r="D12" s="16">
        <v>1860000</v>
      </c>
      <c r="E12" s="17">
        <v>20669900</v>
      </c>
      <c r="F12" s="14">
        <v>2916400</v>
      </c>
      <c r="G12" s="14">
        <v>16592800</v>
      </c>
      <c r="H12" s="14">
        <v>8670000</v>
      </c>
      <c r="I12" s="12"/>
      <c r="K12" s="2"/>
      <c r="M12" s="1"/>
      <c r="N12" s="32"/>
      <c r="O12" s="2"/>
      <c r="Q12" s="34"/>
      <c r="R12" s="1"/>
      <c r="S12" s="32"/>
      <c r="T12" s="32"/>
      <c r="U12" s="2"/>
    </row>
    <row r="13" spans="1:21" x14ac:dyDescent="0.2">
      <c r="A13" s="3">
        <v>2006</v>
      </c>
      <c r="B13" s="8">
        <v>44784659</v>
      </c>
      <c r="C13" s="16">
        <v>20195400</v>
      </c>
      <c r="D13" s="16">
        <v>1819000</v>
      </c>
      <c r="E13" s="17">
        <v>21261300</v>
      </c>
      <c r="F13" s="14">
        <v>2959200</v>
      </c>
      <c r="G13" s="14">
        <v>17236200</v>
      </c>
      <c r="H13" s="14">
        <v>8901000</v>
      </c>
      <c r="I13" s="12"/>
      <c r="K13" s="2"/>
      <c r="M13" s="1"/>
      <c r="N13" s="32"/>
      <c r="O13" s="2"/>
      <c r="Q13" s="34"/>
      <c r="R13" s="1"/>
      <c r="S13" s="32"/>
      <c r="T13" s="32"/>
      <c r="U13" s="2"/>
    </row>
    <row r="14" spans="1:21" x14ac:dyDescent="0.2">
      <c r="A14" s="3">
        <v>2007</v>
      </c>
      <c r="B14" s="8">
        <v>45668938</v>
      </c>
      <c r="C14" s="16">
        <v>20717900</v>
      </c>
      <c r="D14" s="16">
        <v>1942000</v>
      </c>
      <c r="E14" s="17">
        <v>21724300</v>
      </c>
      <c r="F14" s="14">
        <v>2969500</v>
      </c>
      <c r="G14" s="14">
        <v>17748400</v>
      </c>
      <c r="H14" s="14">
        <v>8783000</v>
      </c>
      <c r="I14" s="12"/>
      <c r="K14" s="2"/>
      <c r="M14" s="1"/>
      <c r="N14" s="32"/>
      <c r="O14" s="2"/>
      <c r="Q14" s="34"/>
      <c r="R14" s="1"/>
      <c r="S14" s="32"/>
      <c r="T14" s="32"/>
      <c r="U14" s="2"/>
    </row>
    <row r="15" spans="1:21" x14ac:dyDescent="0.2">
      <c r="A15" s="3">
        <v>2008</v>
      </c>
      <c r="B15" s="8">
        <v>46239271</v>
      </c>
      <c r="C15" s="16">
        <v>20055300</v>
      </c>
      <c r="D15" s="16">
        <v>3206000</v>
      </c>
      <c r="E15" s="17">
        <v>22094900</v>
      </c>
      <c r="F15" s="14">
        <v>3081600</v>
      </c>
      <c r="G15" s="14">
        <v>16973700</v>
      </c>
      <c r="H15" s="14">
        <v>8997000</v>
      </c>
      <c r="I15" s="12"/>
      <c r="K15" s="2"/>
      <c r="M15" s="1"/>
      <c r="N15" s="32"/>
      <c r="O15" s="2"/>
      <c r="Q15" s="34"/>
      <c r="R15" s="1"/>
      <c r="S15" s="32"/>
      <c r="T15" s="32"/>
      <c r="U15" s="2"/>
    </row>
    <row r="16" spans="1:21" x14ac:dyDescent="0.2">
      <c r="A16" s="3">
        <v>2009</v>
      </c>
      <c r="B16" s="8">
        <v>46486621</v>
      </c>
      <c r="C16" s="16">
        <v>18890400</v>
      </c>
      <c r="D16" s="16">
        <v>4335000</v>
      </c>
      <c r="E16" s="17">
        <v>22428700</v>
      </c>
      <c r="F16" s="14">
        <v>3127600</v>
      </c>
      <c r="G16" s="14">
        <v>15762800</v>
      </c>
      <c r="H16" s="14">
        <v>9342000</v>
      </c>
      <c r="K16" s="2"/>
      <c r="M16" s="1"/>
      <c r="N16" s="32"/>
      <c r="O16" s="2"/>
      <c r="Q16" s="34"/>
      <c r="R16" s="1"/>
      <c r="S16" s="32"/>
      <c r="T16" s="32"/>
      <c r="U16" s="2"/>
    </row>
    <row r="17" spans="1:21" x14ac:dyDescent="0.2">
      <c r="A17" s="3">
        <v>2010</v>
      </c>
      <c r="B17" s="8">
        <v>46667175</v>
      </c>
      <c r="C17" s="16">
        <v>18674900</v>
      </c>
      <c r="D17" s="16">
        <v>4702000</v>
      </c>
      <c r="E17" s="17">
        <v>22844400</v>
      </c>
      <c r="F17" s="14">
        <v>3250300</v>
      </c>
      <c r="G17" s="14">
        <v>15424600</v>
      </c>
      <c r="H17" s="14">
        <v>9551000</v>
      </c>
      <c r="K17" s="2"/>
      <c r="M17" s="1"/>
      <c r="N17" s="32"/>
      <c r="O17" s="2"/>
      <c r="Q17" s="34"/>
      <c r="R17" s="1"/>
      <c r="S17" s="32"/>
      <c r="T17" s="32"/>
      <c r="U17" s="2"/>
    </row>
    <row r="18" spans="1:21" x14ac:dyDescent="0.2">
      <c r="A18" s="3">
        <v>2011</v>
      </c>
      <c r="B18" s="8">
        <v>46818216</v>
      </c>
      <c r="C18" s="16">
        <v>18153000</v>
      </c>
      <c r="D18" s="16">
        <v>5287000</v>
      </c>
      <c r="E18" s="17">
        <v>22955200</v>
      </c>
      <c r="F18" s="14">
        <v>3234700</v>
      </c>
      <c r="G18" s="14">
        <v>14918300</v>
      </c>
      <c r="H18" s="14">
        <v>9550000</v>
      </c>
      <c r="K18" s="2"/>
      <c r="M18" s="1"/>
      <c r="N18" s="32"/>
      <c r="O18" s="2"/>
      <c r="Q18" s="34"/>
      <c r="R18" s="1"/>
      <c r="S18" s="32"/>
      <c r="T18" s="32"/>
      <c r="U18" s="2"/>
    </row>
    <row r="19" spans="1:21" x14ac:dyDescent="0.2">
      <c r="A19" s="3">
        <v>2012</v>
      </c>
      <c r="B19" s="8">
        <v>46727890</v>
      </c>
      <c r="C19" s="16">
        <v>17339400</v>
      </c>
      <c r="D19" s="16">
        <v>6021000</v>
      </c>
      <c r="E19" s="17">
        <v>22861200</v>
      </c>
      <c r="F19" s="14">
        <v>3021100</v>
      </c>
      <c r="G19" s="14">
        <v>14318300</v>
      </c>
      <c r="H19" s="14">
        <v>9656000</v>
      </c>
      <c r="K19" s="2"/>
      <c r="M19" s="1"/>
      <c r="N19" s="32"/>
      <c r="O19" s="2"/>
      <c r="Q19" s="34"/>
      <c r="R19" s="1"/>
      <c r="S19" s="32"/>
      <c r="T19" s="32"/>
      <c r="U19" s="2"/>
    </row>
    <row r="20" spans="1:21" x14ac:dyDescent="0.2">
      <c r="A20" s="3">
        <v>2013</v>
      </c>
      <c r="B20" s="8">
        <v>46512199</v>
      </c>
      <c r="C20" s="16">
        <v>17135200</v>
      </c>
      <c r="D20" s="16">
        <v>5935000</v>
      </c>
      <c r="E20" s="17">
        <v>22827800</v>
      </c>
      <c r="F20" s="14">
        <v>2909400</v>
      </c>
      <c r="G20" s="14">
        <v>14225800</v>
      </c>
      <c r="H20" s="14">
        <v>9425000</v>
      </c>
      <c r="K20" s="2"/>
      <c r="M20" s="1"/>
      <c r="N20" s="32"/>
      <c r="O20" s="2"/>
      <c r="Q20" s="34"/>
      <c r="R20" s="1"/>
      <c r="S20" s="32"/>
      <c r="T20" s="32"/>
      <c r="U20" s="2"/>
    </row>
    <row r="21" spans="1:21" x14ac:dyDescent="0.2">
      <c r="A21" s="3">
        <v>2014</v>
      </c>
      <c r="B21" s="8">
        <v>46449565</v>
      </c>
      <c r="C21" s="16">
        <v>17569000</v>
      </c>
      <c r="D21" s="16">
        <v>5457000</v>
      </c>
      <c r="E21" s="17">
        <v>22822700</v>
      </c>
      <c r="F21" s="14">
        <v>2927500</v>
      </c>
      <c r="G21" s="14">
        <v>14641500</v>
      </c>
      <c r="H21" s="14">
        <v>10218000</v>
      </c>
      <c r="K21" s="2"/>
      <c r="M21" s="1"/>
      <c r="N21" s="32"/>
      <c r="O21" s="2"/>
      <c r="Q21" s="34"/>
      <c r="R21" s="1"/>
      <c r="S21" s="32"/>
      <c r="T21" s="32"/>
      <c r="U21" s="2"/>
    </row>
    <row r="22" spans="1:21" x14ac:dyDescent="0.2">
      <c r="A22" s="3">
        <v>2015</v>
      </c>
      <c r="B22" s="8">
        <v>46440099</v>
      </c>
      <c r="C22" s="16">
        <v>18094200</v>
      </c>
      <c r="D22" s="16">
        <v>4779000</v>
      </c>
      <c r="E22" s="17">
        <v>22836800</v>
      </c>
      <c r="F22" s="14">
        <v>3000700</v>
      </c>
      <c r="G22" s="14">
        <v>15093500</v>
      </c>
      <c r="H22" s="14">
        <v>10178000</v>
      </c>
      <c r="K22" s="2"/>
      <c r="M22" s="1"/>
      <c r="N22" s="32"/>
      <c r="O22" s="2"/>
      <c r="Q22" s="34"/>
      <c r="R22" s="1"/>
      <c r="S22" s="32"/>
      <c r="T22" s="32"/>
      <c r="U22" s="2"/>
    </row>
    <row r="23" spans="1:21" x14ac:dyDescent="0.2">
      <c r="A23" s="3">
        <v>2016</v>
      </c>
      <c r="B23" s="8">
        <v>46527039</v>
      </c>
      <c r="C23" s="16">
        <v>18508100</v>
      </c>
      <c r="D23" s="16">
        <v>4237000</v>
      </c>
      <c r="E23" s="17">
        <v>22919200</v>
      </c>
      <c r="F23" s="14">
        <v>2986100</v>
      </c>
      <c r="G23" s="14">
        <v>15522000</v>
      </c>
      <c r="H23" s="14">
        <v>10269000</v>
      </c>
      <c r="K23" s="2"/>
      <c r="M23" s="1"/>
      <c r="N23" s="32"/>
      <c r="O23" s="2"/>
      <c r="Q23" s="34"/>
      <c r="R23" s="1"/>
      <c r="S23" s="32"/>
      <c r="T23" s="32"/>
      <c r="U23" s="2"/>
    </row>
    <row r="24" spans="1:21" x14ac:dyDescent="0.2">
      <c r="A24" s="3">
        <v>2017</v>
      </c>
      <c r="B24" s="8">
        <v>46658447</v>
      </c>
      <c r="C24" s="16">
        <v>18998300</v>
      </c>
      <c r="D24" s="16">
        <v>3766000</v>
      </c>
      <c r="E24" s="17">
        <v>22978800</v>
      </c>
      <c r="F24" s="14">
        <v>3074700</v>
      </c>
      <c r="G24" s="14">
        <v>15923600</v>
      </c>
      <c r="H24" s="14">
        <v>9950000</v>
      </c>
      <c r="K24" s="2"/>
      <c r="M24" s="1"/>
      <c r="N24" s="32"/>
      <c r="O24" s="2"/>
      <c r="Q24" s="34"/>
      <c r="R24" s="1"/>
      <c r="S24" s="32"/>
      <c r="T24" s="32"/>
      <c r="U24" s="2"/>
    </row>
    <row r="25" spans="1:21" x14ac:dyDescent="0.2">
      <c r="A25" s="3">
        <v>2018</v>
      </c>
      <c r="B25" s="8">
        <v>46937060</v>
      </c>
      <c r="C25" s="16">
        <v>19564600</v>
      </c>
      <c r="D25" s="16">
        <v>3304000</v>
      </c>
      <c r="E25" s="17">
        <v>23080400</v>
      </c>
      <c r="F25" s="14">
        <v>3211000</v>
      </c>
      <c r="G25" s="14">
        <v>16353600</v>
      </c>
      <c r="H25" s="14">
        <v>9950000</v>
      </c>
      <c r="K25" s="2"/>
      <c r="M25" s="1"/>
      <c r="N25" s="32"/>
      <c r="O25" s="2"/>
      <c r="Q25" s="34"/>
      <c r="R25" s="1"/>
      <c r="S25" s="32"/>
      <c r="T25" s="32"/>
      <c r="U25" s="2"/>
    </row>
    <row r="26" spans="1:21" x14ac:dyDescent="0.2">
      <c r="A26" s="3">
        <v>2019</v>
      </c>
      <c r="B26" s="8">
        <v>47332614</v>
      </c>
      <c r="C26" s="16">
        <v>19966900</v>
      </c>
      <c r="D26" s="16">
        <v>3192000</v>
      </c>
      <c r="E26" s="17">
        <v>23277400</v>
      </c>
      <c r="F26" s="14">
        <v>3253300</v>
      </c>
      <c r="G26" s="14">
        <v>16713599.999999998</v>
      </c>
      <c r="H26" s="14">
        <v>9610000</v>
      </c>
      <c r="K26" s="2"/>
      <c r="M26" s="1"/>
      <c r="N26" s="32"/>
      <c r="O26" s="2"/>
      <c r="Q26" s="34"/>
      <c r="R26" s="1"/>
      <c r="S26" s="32"/>
      <c r="T26" s="32"/>
      <c r="U26" s="2"/>
    </row>
    <row r="27" spans="1:21" x14ac:dyDescent="0.2">
      <c r="A27" s="3">
        <v>2020</v>
      </c>
      <c r="B27" s="8">
        <v>47398695</v>
      </c>
      <c r="C27" s="16">
        <v>19344300</v>
      </c>
      <c r="D27" s="16">
        <v>3720000</v>
      </c>
      <c r="E27" s="17">
        <v>23418600</v>
      </c>
      <c r="F27" s="14">
        <v>3379100</v>
      </c>
      <c r="G27" s="14">
        <v>15965200</v>
      </c>
      <c r="H27" s="14">
        <v>9829000</v>
      </c>
      <c r="K27" s="2"/>
      <c r="M27" s="1"/>
      <c r="N27" s="32"/>
      <c r="O27" s="2"/>
      <c r="Q27" s="34"/>
      <c r="R27" s="1"/>
      <c r="S27" s="32"/>
      <c r="T27" s="32"/>
      <c r="U27" s="2"/>
    </row>
    <row r="28" spans="1:21" x14ac:dyDescent="0.2">
      <c r="A28" s="3">
        <v>2021</v>
      </c>
      <c r="B28" s="8">
        <v>47432893</v>
      </c>
      <c r="C28" s="16">
        <v>20274900</v>
      </c>
      <c r="D28" s="16">
        <v>3104000</v>
      </c>
      <c r="E28" s="17">
        <v>23454000</v>
      </c>
      <c r="F28" s="14">
        <v>3457500</v>
      </c>
      <c r="G28" s="14">
        <v>16817400</v>
      </c>
      <c r="H28" s="14">
        <v>10160000</v>
      </c>
      <c r="K28" s="2"/>
      <c r="M28" s="1"/>
      <c r="N28" s="32"/>
      <c r="O28" s="2"/>
      <c r="Q28" s="34"/>
      <c r="R28" s="1"/>
      <c r="S28" s="32"/>
      <c r="T28" s="32"/>
      <c r="U28" s="2"/>
    </row>
    <row r="29" spans="1:21" x14ac:dyDescent="0.2">
      <c r="A29" s="3">
        <v>2022</v>
      </c>
      <c r="B29" s="8">
        <v>48085361</v>
      </c>
      <c r="C29" s="16">
        <v>20640600</v>
      </c>
      <c r="D29" s="16">
        <v>3024000</v>
      </c>
      <c r="E29" s="17">
        <v>23684200</v>
      </c>
      <c r="F29" s="14">
        <v>3497200</v>
      </c>
      <c r="G29" s="14">
        <v>17143400</v>
      </c>
      <c r="H29" s="14">
        <v>9585000</v>
      </c>
      <c r="K29" s="2"/>
      <c r="M29" s="1"/>
      <c r="N29" s="32"/>
      <c r="O29" s="2"/>
      <c r="Q29" s="34"/>
      <c r="R29" s="1"/>
      <c r="S29" s="32"/>
      <c r="T29" s="32"/>
      <c r="U29" s="2"/>
    </row>
    <row r="30" spans="1:21" x14ac:dyDescent="0.2">
      <c r="A30" s="3">
        <v>2023</v>
      </c>
      <c r="B30" s="8">
        <v>48619695</v>
      </c>
      <c r="C30" s="16">
        <v>21389700</v>
      </c>
      <c r="D30" s="16">
        <v>2831000</v>
      </c>
      <c r="E30" s="17">
        <v>24085800</v>
      </c>
      <c r="F30" s="14">
        <v>3576600</v>
      </c>
      <c r="G30" s="14">
        <v>17813100</v>
      </c>
      <c r="H30" s="14">
        <v>9567000</v>
      </c>
      <c r="K30" s="2"/>
      <c r="M30" s="1"/>
      <c r="N30" s="33"/>
      <c r="O30" s="1"/>
      <c r="Q30" s="34"/>
      <c r="R30" s="1"/>
      <c r="S30" s="32"/>
      <c r="T30" s="32"/>
      <c r="U30" s="2"/>
    </row>
    <row r="31" spans="1:21" x14ac:dyDescent="0.2">
      <c r="R31" s="1"/>
      <c r="S31" s="33"/>
      <c r="T31" s="33"/>
      <c r="U31" s="1"/>
    </row>
    <row r="35" spans="2:7" x14ac:dyDescent="0.2">
      <c r="B35" s="31"/>
      <c r="C35" s="31"/>
    </row>
    <row r="39" spans="2:7" x14ac:dyDescent="0.2">
      <c r="C39" s="15"/>
      <c r="D39" s="19"/>
      <c r="E39" s="19"/>
      <c r="F39" s="19"/>
      <c r="G39" s="20"/>
    </row>
    <row r="40" spans="2:7" x14ac:dyDescent="0.2">
      <c r="C40" s="15"/>
      <c r="D40" s="19"/>
      <c r="E40" s="19"/>
      <c r="F40" s="19"/>
      <c r="G40" s="20"/>
    </row>
    <row r="41" spans="2:7" x14ac:dyDescent="0.2">
      <c r="C41" s="15"/>
      <c r="D41" s="19"/>
      <c r="E41" s="19"/>
      <c r="F41" s="19"/>
      <c r="G41" s="20"/>
    </row>
    <row r="42" spans="2:7" x14ac:dyDescent="0.2">
      <c r="C42" s="15"/>
      <c r="D42" s="19"/>
      <c r="E42" s="19"/>
      <c r="F42" s="19"/>
      <c r="G42" s="20"/>
    </row>
    <row r="43" spans="2:7" x14ac:dyDescent="0.2">
      <c r="C43" s="15"/>
      <c r="D43" s="19"/>
      <c r="E43" s="19"/>
      <c r="F43" s="19"/>
      <c r="G43" s="20"/>
    </row>
    <row r="44" spans="2:7" x14ac:dyDescent="0.2">
      <c r="C44" s="15"/>
      <c r="D44" s="19"/>
      <c r="E44" s="19"/>
      <c r="F44" s="19"/>
      <c r="G44" s="20"/>
    </row>
    <row r="45" spans="2:7" x14ac:dyDescent="0.2">
      <c r="C45" s="15"/>
      <c r="D45" s="19"/>
      <c r="E45" s="19"/>
      <c r="F45" s="19"/>
      <c r="G45" s="20"/>
    </row>
    <row r="46" spans="2:7" x14ac:dyDescent="0.2">
      <c r="C46" s="15"/>
      <c r="D46" s="19"/>
      <c r="E46" s="19"/>
      <c r="F46" s="19"/>
      <c r="G46" s="20"/>
    </row>
    <row r="47" spans="2:7" x14ac:dyDescent="0.2">
      <c r="C47" s="15"/>
      <c r="D47" s="19"/>
      <c r="E47" s="19"/>
      <c r="F47" s="19"/>
      <c r="G47" s="20"/>
    </row>
    <row r="48" spans="2:7" x14ac:dyDescent="0.2">
      <c r="C48" s="15"/>
      <c r="D48" s="19"/>
      <c r="E48" s="19"/>
      <c r="F48" s="19"/>
      <c r="G48" s="20"/>
    </row>
    <row r="49" spans="3:7" x14ac:dyDescent="0.2">
      <c r="C49" s="15"/>
      <c r="D49" s="19"/>
      <c r="E49" s="19"/>
      <c r="F49" s="19"/>
      <c r="G49" s="20"/>
    </row>
    <row r="50" spans="3:7" x14ac:dyDescent="0.2">
      <c r="C50" s="15"/>
      <c r="D50" s="19"/>
      <c r="E50" s="19"/>
      <c r="F50" s="19"/>
      <c r="G50" s="20"/>
    </row>
    <row r="51" spans="3:7" x14ac:dyDescent="0.2">
      <c r="C51" s="15"/>
      <c r="D51" s="19"/>
      <c r="E51" s="19"/>
      <c r="F51" s="19"/>
      <c r="G51" s="20"/>
    </row>
    <row r="52" spans="3:7" x14ac:dyDescent="0.2">
      <c r="C52" s="15"/>
      <c r="D52" s="19"/>
      <c r="E52" s="19"/>
      <c r="F52" s="19"/>
      <c r="G52" s="20"/>
    </row>
    <row r="53" spans="3:7" x14ac:dyDescent="0.2">
      <c r="C53" s="15"/>
      <c r="D53" s="19"/>
      <c r="E53" s="19"/>
      <c r="F53" s="19"/>
      <c r="G53" s="20"/>
    </row>
    <row r="54" spans="3:7" x14ac:dyDescent="0.2">
      <c r="C54" s="15"/>
      <c r="D54" s="19"/>
      <c r="E54" s="19"/>
      <c r="F54" s="19"/>
      <c r="G54" s="20"/>
    </row>
    <row r="55" spans="3:7" x14ac:dyDescent="0.2">
      <c r="C55" s="15"/>
      <c r="D55" s="19"/>
      <c r="E55" s="19"/>
      <c r="F55" s="19"/>
      <c r="G55" s="20"/>
    </row>
    <row r="56" spans="3:7" x14ac:dyDescent="0.2">
      <c r="C56" s="15"/>
      <c r="D56" s="19"/>
      <c r="E56" s="19"/>
      <c r="F56" s="19"/>
      <c r="G56" s="20"/>
    </row>
    <row r="57" spans="3:7" x14ac:dyDescent="0.2">
      <c r="C57" s="15"/>
      <c r="D57" s="19"/>
      <c r="E57" s="19"/>
      <c r="F57" s="19"/>
      <c r="G57" s="20"/>
    </row>
    <row r="58" spans="3:7" x14ac:dyDescent="0.2">
      <c r="C58" s="15"/>
      <c r="D58" s="19"/>
      <c r="E58" s="19"/>
      <c r="F58" s="19"/>
      <c r="G58" s="20"/>
    </row>
    <row r="59" spans="3:7" x14ac:dyDescent="0.2">
      <c r="C59" s="15"/>
      <c r="D59" s="19"/>
      <c r="E59" s="19"/>
      <c r="F59" s="19"/>
      <c r="G59" s="20"/>
    </row>
    <row r="60" spans="3:7" x14ac:dyDescent="0.2">
      <c r="C60" s="15"/>
      <c r="D60" s="19"/>
      <c r="E60" s="19"/>
      <c r="F60" s="19"/>
      <c r="G60" s="20"/>
    </row>
    <row r="61" spans="3:7" x14ac:dyDescent="0.2">
      <c r="C61" s="15"/>
      <c r="D61" s="19"/>
      <c r="E61" s="19"/>
      <c r="F61" s="19"/>
      <c r="G61" s="20"/>
    </row>
    <row r="62" spans="3:7" x14ac:dyDescent="0.2">
      <c r="C62" s="15"/>
      <c r="D62" s="19"/>
      <c r="E62" s="19"/>
      <c r="F62" s="19"/>
      <c r="G62" s="20"/>
    </row>
    <row r="63" spans="3:7" x14ac:dyDescent="0.2">
      <c r="C63" s="15"/>
      <c r="D63" s="19"/>
      <c r="E63" s="19"/>
      <c r="F63" s="19"/>
      <c r="G63" s="20"/>
    </row>
    <row r="64" spans="3:7" x14ac:dyDescent="0.2">
      <c r="C64" s="15"/>
      <c r="D64" s="19"/>
      <c r="E64" s="19"/>
      <c r="F64" s="19"/>
      <c r="G64" s="20"/>
    </row>
    <row r="65" spans="3:7" x14ac:dyDescent="0.2">
      <c r="C65" s="15"/>
      <c r="D65" s="19"/>
      <c r="E65" s="19"/>
      <c r="F65" s="19"/>
      <c r="G65" s="20"/>
    </row>
    <row r="66" spans="3:7" x14ac:dyDescent="0.2">
      <c r="C66" s="15"/>
      <c r="D66" s="19"/>
      <c r="E66" s="19"/>
      <c r="F66" s="19"/>
      <c r="G66" s="20"/>
    </row>
    <row r="67" spans="3:7" x14ac:dyDescent="0.2">
      <c r="C67" s="15"/>
      <c r="D67" s="19"/>
      <c r="E67" s="19"/>
      <c r="F67" s="19"/>
      <c r="G67" s="20"/>
    </row>
    <row r="68" spans="3:7" x14ac:dyDescent="0.2">
      <c r="C68" s="15"/>
      <c r="D68" s="19"/>
      <c r="E68" s="19"/>
      <c r="F68" s="19"/>
      <c r="G68" s="20"/>
    </row>
    <row r="69" spans="3:7" x14ac:dyDescent="0.2">
      <c r="C69" s="15"/>
      <c r="D69" s="19"/>
      <c r="E69" s="19"/>
      <c r="F69" s="19"/>
      <c r="G69" s="20"/>
    </row>
    <row r="70" spans="3:7" x14ac:dyDescent="0.2">
      <c r="C70" s="15"/>
      <c r="D70" s="19"/>
      <c r="E70" s="19"/>
      <c r="F70" s="19"/>
      <c r="G70" s="20"/>
    </row>
    <row r="71" spans="3:7" x14ac:dyDescent="0.2">
      <c r="C71" s="15"/>
      <c r="D71" s="19"/>
      <c r="E71" s="19"/>
      <c r="F71" s="19"/>
      <c r="G71" s="20"/>
    </row>
    <row r="72" spans="3:7" x14ac:dyDescent="0.2">
      <c r="C72" s="15"/>
      <c r="D72" s="19"/>
      <c r="E72" s="19"/>
      <c r="F72" s="19"/>
      <c r="G72" s="20"/>
    </row>
    <row r="73" spans="3:7" x14ac:dyDescent="0.2">
      <c r="C73" s="15"/>
      <c r="D73" s="19"/>
      <c r="E73" s="19"/>
      <c r="F73" s="19"/>
      <c r="G73" s="20"/>
    </row>
    <row r="74" spans="3:7" x14ac:dyDescent="0.2">
      <c r="C74" s="15"/>
      <c r="D74" s="19"/>
      <c r="E74" s="19"/>
      <c r="F74" s="19"/>
      <c r="G74" s="20"/>
    </row>
    <row r="75" spans="3:7" x14ac:dyDescent="0.2">
      <c r="C75" s="15"/>
      <c r="D75" s="19"/>
      <c r="E75" s="19"/>
      <c r="F75" s="19"/>
      <c r="G75" s="20"/>
    </row>
    <row r="76" spans="3:7" x14ac:dyDescent="0.2">
      <c r="C76" s="15"/>
      <c r="D76" s="19"/>
      <c r="E76" s="19"/>
      <c r="F76" s="19"/>
      <c r="G76" s="20"/>
    </row>
    <row r="77" spans="3:7" x14ac:dyDescent="0.2">
      <c r="C77" s="15"/>
      <c r="D77" s="19"/>
      <c r="E77" s="19"/>
      <c r="F77" s="19"/>
      <c r="G77" s="20"/>
    </row>
    <row r="78" spans="3:7" x14ac:dyDescent="0.2">
      <c r="C78" s="15"/>
      <c r="D78" s="19"/>
      <c r="E78" s="19"/>
      <c r="F78" s="19"/>
      <c r="G78" s="20"/>
    </row>
    <row r="79" spans="3:7" x14ac:dyDescent="0.2">
      <c r="C79" s="15"/>
      <c r="D79" s="19"/>
      <c r="E79" s="19"/>
      <c r="F79" s="19"/>
      <c r="G79" s="20"/>
    </row>
    <row r="80" spans="3:7" x14ac:dyDescent="0.2">
      <c r="C80" s="15"/>
      <c r="D80" s="19"/>
      <c r="E80" s="19"/>
      <c r="F80" s="19"/>
      <c r="G80" s="20"/>
    </row>
    <row r="81" spans="3:7" x14ac:dyDescent="0.2">
      <c r="C81" s="15"/>
      <c r="D81" s="19"/>
      <c r="E81" s="19"/>
      <c r="F81" s="19"/>
      <c r="G81" s="20"/>
    </row>
    <row r="82" spans="3:7" x14ac:dyDescent="0.2">
      <c r="C82" s="15"/>
      <c r="D82" s="19"/>
      <c r="E82" s="19"/>
      <c r="F82" s="19"/>
      <c r="G82" s="20"/>
    </row>
    <row r="83" spans="3:7" x14ac:dyDescent="0.2">
      <c r="C83" s="15"/>
      <c r="D83" s="19"/>
      <c r="E83" s="19"/>
      <c r="F83" s="19"/>
      <c r="G83" s="20"/>
    </row>
    <row r="84" spans="3:7" x14ac:dyDescent="0.2">
      <c r="C84" s="15"/>
      <c r="D84" s="19"/>
      <c r="E84" s="19"/>
      <c r="F84" s="19"/>
      <c r="G84" s="20"/>
    </row>
    <row r="85" spans="3:7" x14ac:dyDescent="0.2">
      <c r="C85" s="15"/>
      <c r="D85" s="19"/>
      <c r="E85" s="19"/>
      <c r="F85" s="19"/>
      <c r="G85" s="20"/>
    </row>
    <row r="86" spans="3:7" x14ac:dyDescent="0.2">
      <c r="C86" s="15"/>
      <c r="D86" s="19"/>
      <c r="E86" s="19"/>
      <c r="F86" s="19"/>
      <c r="G86" s="20"/>
    </row>
    <row r="87" spans="3:7" x14ac:dyDescent="0.2">
      <c r="C87" s="15"/>
      <c r="D87" s="19"/>
      <c r="E87" s="19"/>
      <c r="F87" s="19"/>
      <c r="G87" s="20"/>
    </row>
    <row r="88" spans="3:7" x14ac:dyDescent="0.2">
      <c r="C88" s="15"/>
      <c r="D88" s="19"/>
      <c r="E88" s="19"/>
      <c r="F88" s="19"/>
      <c r="G88" s="20"/>
    </row>
    <row r="89" spans="3:7" x14ac:dyDescent="0.2">
      <c r="C89" s="15"/>
      <c r="D89" s="19"/>
      <c r="E89" s="19"/>
      <c r="F89" s="19"/>
      <c r="G89" s="20"/>
    </row>
    <row r="90" spans="3:7" x14ac:dyDescent="0.2">
      <c r="C90" s="15"/>
      <c r="D90" s="19"/>
      <c r="E90" s="19"/>
      <c r="F90" s="19"/>
      <c r="G90" s="20"/>
    </row>
    <row r="91" spans="3:7" x14ac:dyDescent="0.2">
      <c r="C91" s="15"/>
      <c r="D91" s="19"/>
      <c r="E91" s="19"/>
      <c r="F91" s="19"/>
      <c r="G91" s="20"/>
    </row>
    <row r="92" spans="3:7" x14ac:dyDescent="0.2">
      <c r="C92" s="15"/>
      <c r="D92" s="19"/>
      <c r="E92" s="19"/>
      <c r="F92" s="19"/>
      <c r="G92" s="20"/>
    </row>
    <row r="93" spans="3:7" x14ac:dyDescent="0.2">
      <c r="C93" s="15"/>
      <c r="D93" s="19"/>
      <c r="E93" s="19"/>
      <c r="F93" s="19"/>
      <c r="G93" s="20"/>
    </row>
    <row r="94" spans="3:7" x14ac:dyDescent="0.2">
      <c r="C94" s="15"/>
      <c r="D94" s="19"/>
      <c r="E94" s="19"/>
      <c r="F94" s="19"/>
      <c r="G94" s="20"/>
    </row>
    <row r="95" spans="3:7" x14ac:dyDescent="0.2">
      <c r="C95" s="15"/>
      <c r="D95" s="19"/>
      <c r="E95" s="19"/>
      <c r="F95" s="19"/>
      <c r="G95" s="20"/>
    </row>
    <row r="96" spans="3:7" x14ac:dyDescent="0.2">
      <c r="C96" s="15"/>
      <c r="D96" s="19"/>
      <c r="E96" s="19"/>
      <c r="F96" s="19"/>
      <c r="G96" s="20"/>
    </row>
    <row r="97" spans="3:7" x14ac:dyDescent="0.2">
      <c r="C97" s="15"/>
      <c r="D97" s="19"/>
      <c r="E97" s="19"/>
      <c r="F97" s="19"/>
      <c r="G97" s="20"/>
    </row>
    <row r="98" spans="3:7" x14ac:dyDescent="0.2">
      <c r="C98" s="15"/>
      <c r="D98" s="19"/>
      <c r="E98" s="19"/>
      <c r="F98" s="19"/>
      <c r="G98" s="20"/>
    </row>
    <row r="99" spans="3:7" x14ac:dyDescent="0.2">
      <c r="C99" s="15"/>
      <c r="D99" s="19"/>
      <c r="E99" s="19"/>
      <c r="F99" s="19"/>
      <c r="G99" s="20"/>
    </row>
    <row r="100" spans="3:7" x14ac:dyDescent="0.2">
      <c r="C100" s="15"/>
      <c r="D100" s="19"/>
      <c r="E100" s="19"/>
      <c r="F100" s="19"/>
      <c r="G100" s="20"/>
    </row>
    <row r="101" spans="3:7" x14ac:dyDescent="0.2">
      <c r="C101" s="15"/>
      <c r="D101" s="19"/>
      <c r="E101" s="19"/>
      <c r="F101" s="19"/>
      <c r="G101" s="20"/>
    </row>
    <row r="102" spans="3:7" x14ac:dyDescent="0.2">
      <c r="C102" s="15"/>
      <c r="D102" s="19"/>
      <c r="E102" s="19"/>
      <c r="F102" s="19"/>
      <c r="G102" s="20"/>
    </row>
    <row r="103" spans="3:7" x14ac:dyDescent="0.2">
      <c r="C103" s="15"/>
      <c r="D103" s="19"/>
      <c r="E103" s="19"/>
      <c r="F103" s="19"/>
      <c r="G103" s="20"/>
    </row>
    <row r="104" spans="3:7" x14ac:dyDescent="0.2">
      <c r="C104" s="15"/>
      <c r="D104" s="19"/>
      <c r="E104" s="19"/>
      <c r="F104" s="19"/>
      <c r="G104" s="20"/>
    </row>
    <row r="105" spans="3:7" x14ac:dyDescent="0.2">
      <c r="C105" s="15"/>
      <c r="D105" s="19"/>
      <c r="E105" s="19"/>
      <c r="F105" s="19"/>
      <c r="G105" s="20"/>
    </row>
    <row r="106" spans="3:7" x14ac:dyDescent="0.2">
      <c r="C106" s="15"/>
      <c r="D106" s="19"/>
      <c r="E106" s="19"/>
      <c r="F106" s="19"/>
      <c r="G106" s="20"/>
    </row>
    <row r="107" spans="3:7" x14ac:dyDescent="0.2">
      <c r="C107" s="15"/>
      <c r="D107" s="19"/>
      <c r="E107" s="19"/>
      <c r="F107" s="19"/>
      <c r="G107" s="20"/>
    </row>
    <row r="108" spans="3:7" x14ac:dyDescent="0.2">
      <c r="C108" s="15"/>
      <c r="D108" s="19"/>
      <c r="E108" s="19"/>
      <c r="F108" s="19"/>
      <c r="G108" s="20"/>
    </row>
    <row r="109" spans="3:7" x14ac:dyDescent="0.2">
      <c r="C109" s="15"/>
      <c r="D109" s="19"/>
      <c r="E109" s="19"/>
      <c r="F109" s="19"/>
      <c r="G109" s="20"/>
    </row>
    <row r="110" spans="3:7" x14ac:dyDescent="0.2">
      <c r="C110" s="15"/>
      <c r="D110" s="19"/>
      <c r="E110" s="19"/>
      <c r="F110" s="19"/>
      <c r="G110" s="20"/>
    </row>
    <row r="111" spans="3:7" x14ac:dyDescent="0.2">
      <c r="C111" s="15"/>
      <c r="D111" s="19"/>
      <c r="E111" s="19"/>
      <c r="F111" s="19"/>
      <c r="G111" s="20"/>
    </row>
    <row r="112" spans="3:7" x14ac:dyDescent="0.2">
      <c r="C112" s="15"/>
      <c r="D112" s="19"/>
      <c r="E112" s="19"/>
      <c r="F112" s="19"/>
      <c r="G112" s="20"/>
    </row>
    <row r="113" spans="3:7" x14ac:dyDescent="0.2">
      <c r="C113" s="15"/>
      <c r="D113" s="19"/>
      <c r="E113" s="19"/>
      <c r="F113" s="19"/>
      <c r="G113" s="20"/>
    </row>
    <row r="114" spans="3:7" x14ac:dyDescent="0.2">
      <c r="C114" s="15"/>
      <c r="D114" s="19"/>
      <c r="E114" s="19"/>
      <c r="F114" s="19"/>
      <c r="G114" s="20"/>
    </row>
    <row r="115" spans="3:7" x14ac:dyDescent="0.2">
      <c r="C115" s="15"/>
      <c r="D115" s="19"/>
      <c r="E115" s="19"/>
      <c r="F115" s="19"/>
      <c r="G115" s="20"/>
    </row>
    <row r="116" spans="3:7" x14ac:dyDescent="0.2">
      <c r="C116" s="15"/>
      <c r="D116" s="19"/>
      <c r="E116" s="19"/>
      <c r="F116" s="19"/>
      <c r="G116" s="20"/>
    </row>
    <row r="117" spans="3:7" x14ac:dyDescent="0.2">
      <c r="C117" s="15"/>
      <c r="D117" s="19"/>
      <c r="E117" s="19"/>
      <c r="F117" s="19"/>
      <c r="G117" s="20"/>
    </row>
    <row r="118" spans="3:7" x14ac:dyDescent="0.2">
      <c r="C118" s="15"/>
      <c r="D118" s="19"/>
      <c r="E118" s="19"/>
      <c r="F118" s="19"/>
      <c r="G118" s="20"/>
    </row>
    <row r="119" spans="3:7" x14ac:dyDescent="0.2">
      <c r="C119" s="15"/>
      <c r="D119" s="19"/>
      <c r="E119" s="19"/>
      <c r="F119" s="19"/>
      <c r="G119" s="20"/>
    </row>
    <row r="120" spans="3:7" x14ac:dyDescent="0.2">
      <c r="C120" s="15"/>
      <c r="D120" s="19"/>
      <c r="E120" s="19"/>
      <c r="F120" s="19"/>
      <c r="G120" s="20"/>
    </row>
    <row r="121" spans="3:7" x14ac:dyDescent="0.2">
      <c r="C121" s="15"/>
      <c r="D121" s="19"/>
      <c r="E121" s="19"/>
      <c r="F121" s="19"/>
      <c r="G121" s="20"/>
    </row>
    <row r="122" spans="3:7" x14ac:dyDescent="0.2">
      <c r="C122" s="15"/>
      <c r="D122" s="19"/>
      <c r="E122" s="19"/>
      <c r="F122" s="19"/>
      <c r="G122" s="20"/>
    </row>
    <row r="123" spans="3:7" x14ac:dyDescent="0.2">
      <c r="C123" s="15"/>
      <c r="D123" s="19"/>
      <c r="E123" s="19"/>
      <c r="F123" s="19"/>
      <c r="G123" s="20"/>
    </row>
    <row r="124" spans="3:7" x14ac:dyDescent="0.2">
      <c r="C124" s="15"/>
      <c r="D124" s="19"/>
      <c r="E124" s="19"/>
      <c r="F124" s="19"/>
      <c r="G124" s="20"/>
    </row>
    <row r="125" spans="3:7" x14ac:dyDescent="0.2">
      <c r="C125" s="15"/>
      <c r="D125" s="19"/>
      <c r="E125" s="19"/>
      <c r="F125" s="19"/>
      <c r="G125" s="20"/>
    </row>
    <row r="126" spans="3:7" x14ac:dyDescent="0.2">
      <c r="C126" s="15"/>
      <c r="D126" s="19"/>
      <c r="E126" s="19"/>
      <c r="F126" s="19"/>
      <c r="G126" s="20"/>
    </row>
    <row r="127" spans="3:7" x14ac:dyDescent="0.2">
      <c r="C127" s="15"/>
      <c r="D127" s="19"/>
      <c r="E127" s="19"/>
      <c r="F127" s="19"/>
      <c r="G127" s="20"/>
    </row>
    <row r="128" spans="3:7" x14ac:dyDescent="0.2">
      <c r="C128" s="15"/>
      <c r="D128" s="19"/>
      <c r="E128" s="19"/>
      <c r="F128" s="19"/>
      <c r="G128" s="20"/>
    </row>
    <row r="129" spans="3:7" x14ac:dyDescent="0.2">
      <c r="C129" s="15"/>
      <c r="D129" s="19"/>
      <c r="E129" s="19"/>
      <c r="F129" s="19"/>
      <c r="G129" s="20"/>
    </row>
    <row r="130" spans="3:7" x14ac:dyDescent="0.2">
      <c r="C130" s="15"/>
      <c r="D130" s="19"/>
      <c r="E130" s="19"/>
      <c r="F130" s="19"/>
      <c r="G130" s="20"/>
    </row>
    <row r="131" spans="3:7" x14ac:dyDescent="0.2">
      <c r="C131" s="15"/>
      <c r="D131" s="19"/>
      <c r="E131" s="19"/>
      <c r="F131" s="19"/>
      <c r="G131" s="20"/>
    </row>
    <row r="132" spans="3:7" x14ac:dyDescent="0.2">
      <c r="C132" s="15"/>
      <c r="D132" s="19"/>
      <c r="E132" s="19"/>
      <c r="F132" s="19"/>
      <c r="G132" s="20"/>
    </row>
    <row r="133" spans="3:7" x14ac:dyDescent="0.2">
      <c r="C133" s="15"/>
      <c r="D133" s="19"/>
      <c r="E133" s="19"/>
      <c r="F133" s="19"/>
      <c r="G133" s="20"/>
    </row>
    <row r="134" spans="3:7" x14ac:dyDescent="0.2">
      <c r="C134" s="15"/>
      <c r="D134" s="19"/>
      <c r="E134" s="19"/>
      <c r="F134" s="19"/>
      <c r="G134" s="20"/>
    </row>
    <row r="135" spans="3:7" x14ac:dyDescent="0.2">
      <c r="C135" s="15"/>
      <c r="D135" s="19"/>
      <c r="E135" s="19"/>
      <c r="F135" s="19"/>
      <c r="G135" s="20"/>
    </row>
    <row r="136" spans="3:7" x14ac:dyDescent="0.2">
      <c r="C136" s="15"/>
      <c r="D136" s="19"/>
      <c r="E136" s="19"/>
      <c r="F136" s="19"/>
      <c r="G136" s="20"/>
    </row>
    <row r="137" spans="3:7" x14ac:dyDescent="0.2">
      <c r="C137" s="15"/>
      <c r="D137" s="19"/>
      <c r="E137" s="19"/>
      <c r="F137" s="19"/>
      <c r="G137" s="20"/>
    </row>
    <row r="138" spans="3:7" x14ac:dyDescent="0.2">
      <c r="C138" s="15"/>
      <c r="D138" s="19"/>
      <c r="E138" s="19"/>
      <c r="F138" s="19"/>
      <c r="G138" s="20"/>
    </row>
    <row r="139" spans="3:7" x14ac:dyDescent="0.2">
      <c r="C139" s="15"/>
      <c r="D139" s="19"/>
      <c r="E139" s="19"/>
      <c r="F139" s="19"/>
      <c r="G139" s="20"/>
    </row>
    <row r="140" spans="3:7" x14ac:dyDescent="0.2">
      <c r="C140" s="15"/>
      <c r="D140" s="19"/>
      <c r="E140" s="19"/>
      <c r="F140" s="19"/>
      <c r="G140" s="20"/>
    </row>
    <row r="141" spans="3:7" x14ac:dyDescent="0.2">
      <c r="C141" s="15"/>
      <c r="D141" s="19"/>
      <c r="E141" s="19"/>
      <c r="F141" s="19"/>
      <c r="G141" s="20"/>
    </row>
    <row r="142" spans="3:7" x14ac:dyDescent="0.2">
      <c r="C142" s="15"/>
      <c r="D142" s="19"/>
      <c r="E142" s="19"/>
      <c r="F142" s="19"/>
      <c r="G142" s="20"/>
    </row>
    <row r="143" spans="3:7" x14ac:dyDescent="0.2">
      <c r="C143" s="15"/>
      <c r="D143" s="19"/>
      <c r="E143" s="19"/>
      <c r="F143" s="19"/>
      <c r="G143" s="20"/>
    </row>
    <row r="144" spans="3:7" x14ac:dyDescent="0.2">
      <c r="C144" s="15"/>
      <c r="D144" s="19"/>
      <c r="E144" s="19"/>
      <c r="F144" s="19"/>
      <c r="G144" s="20"/>
    </row>
    <row r="145" spans="3:7" x14ac:dyDescent="0.2">
      <c r="C145" s="15"/>
      <c r="D145" s="19"/>
      <c r="E145" s="19"/>
      <c r="F145" s="19"/>
      <c r="G145" s="20"/>
    </row>
    <row r="146" spans="3:7" x14ac:dyDescent="0.2">
      <c r="C146" s="15"/>
      <c r="D146" s="19"/>
      <c r="E146" s="19"/>
      <c r="F146" s="19"/>
      <c r="G146" s="20"/>
    </row>
    <row r="147" spans="3:7" x14ac:dyDescent="0.2">
      <c r="C147" s="15"/>
      <c r="D147" s="19"/>
      <c r="E147" s="19"/>
      <c r="F147" s="19"/>
      <c r="G147" s="20"/>
    </row>
    <row r="148" spans="3:7" x14ac:dyDescent="0.2">
      <c r="C148" s="15"/>
      <c r="D148" s="19"/>
      <c r="E148" s="19"/>
      <c r="F148" s="19"/>
      <c r="G148" s="20"/>
    </row>
    <row r="149" spans="3:7" x14ac:dyDescent="0.2">
      <c r="C149" s="15"/>
      <c r="D149" s="19"/>
      <c r="E149" s="19"/>
      <c r="F149" s="19"/>
      <c r="G149" s="20"/>
    </row>
    <row r="150" spans="3:7" x14ac:dyDescent="0.2">
      <c r="C150" s="15"/>
      <c r="D150" s="19"/>
      <c r="E150" s="19"/>
      <c r="F150" s="19"/>
      <c r="G150" s="20"/>
    </row>
    <row r="151" spans="3:7" x14ac:dyDescent="0.2">
      <c r="C151" s="15"/>
      <c r="D151" s="19"/>
      <c r="E151" s="19"/>
      <c r="F151" s="19"/>
      <c r="G151" s="20"/>
    </row>
    <row r="152" spans="3:7" x14ac:dyDescent="0.2">
      <c r="C152" s="15"/>
      <c r="D152" s="19"/>
      <c r="E152" s="19"/>
      <c r="F152" s="19"/>
      <c r="G152" s="20"/>
    </row>
    <row r="153" spans="3:7" x14ac:dyDescent="0.2">
      <c r="C153" s="15"/>
      <c r="D153" s="19"/>
      <c r="E153" s="19"/>
      <c r="F153" s="19"/>
      <c r="G153" s="20"/>
    </row>
    <row r="154" spans="3:7" x14ac:dyDescent="0.2">
      <c r="C154" s="15"/>
      <c r="D154" s="19"/>
      <c r="E154" s="19"/>
      <c r="F154" s="19"/>
      <c r="G154" s="20"/>
    </row>
    <row r="155" spans="3:7" x14ac:dyDescent="0.2">
      <c r="C155" s="15"/>
      <c r="D155" s="19"/>
      <c r="E155" s="19"/>
      <c r="F155" s="19"/>
      <c r="G155" s="20"/>
    </row>
    <row r="156" spans="3:7" x14ac:dyDescent="0.2">
      <c r="C156" s="15"/>
      <c r="D156" s="19"/>
      <c r="E156" s="19"/>
      <c r="F156" s="19"/>
      <c r="G156" s="20"/>
    </row>
    <row r="157" spans="3:7" x14ac:dyDescent="0.2">
      <c r="C157" s="15"/>
      <c r="D157" s="19"/>
      <c r="E157" s="19"/>
      <c r="F157" s="19"/>
      <c r="G157" s="20"/>
    </row>
    <row r="158" spans="3:7" x14ac:dyDescent="0.2">
      <c r="C158" s="15"/>
      <c r="D158" s="19"/>
      <c r="E158" s="19"/>
      <c r="F158" s="19"/>
      <c r="G158" s="20"/>
    </row>
    <row r="159" spans="3:7" x14ac:dyDescent="0.2">
      <c r="C159" s="15"/>
      <c r="D159" s="19"/>
      <c r="E159" s="19"/>
      <c r="F159" s="19"/>
      <c r="G159" s="20"/>
    </row>
    <row r="160" spans="3:7" x14ac:dyDescent="0.2">
      <c r="C160" s="15"/>
      <c r="D160" s="19"/>
      <c r="E160" s="19"/>
      <c r="F160" s="19"/>
      <c r="G160" s="20"/>
    </row>
    <row r="161" spans="3:7" x14ac:dyDescent="0.2">
      <c r="C161" s="15"/>
      <c r="D161" s="19"/>
      <c r="E161" s="19"/>
      <c r="F161" s="19"/>
      <c r="G161" s="20"/>
    </row>
    <row r="162" spans="3:7" x14ac:dyDescent="0.2">
      <c r="C162" s="15"/>
      <c r="D162" s="19"/>
      <c r="E162" s="19"/>
      <c r="F162" s="19"/>
      <c r="G162" s="20"/>
    </row>
    <row r="163" spans="3:7" x14ac:dyDescent="0.2">
      <c r="C163" s="15"/>
      <c r="D163" s="19"/>
      <c r="E163" s="19"/>
      <c r="F163" s="19"/>
      <c r="G163" s="20"/>
    </row>
    <row r="164" spans="3:7" x14ac:dyDescent="0.2">
      <c r="C164" s="15"/>
      <c r="D164" s="19"/>
      <c r="E164" s="19"/>
      <c r="F164" s="19"/>
      <c r="G164" s="20"/>
    </row>
    <row r="165" spans="3:7" x14ac:dyDescent="0.2">
      <c r="C165" s="15"/>
      <c r="D165" s="19"/>
      <c r="E165" s="19"/>
      <c r="F165" s="19"/>
      <c r="G165" s="20"/>
    </row>
    <row r="166" spans="3:7" x14ac:dyDescent="0.2">
      <c r="C166" s="15"/>
      <c r="D166" s="19"/>
      <c r="E166" s="19"/>
      <c r="F166" s="19"/>
      <c r="G166" s="20"/>
    </row>
    <row r="167" spans="3:7" x14ac:dyDescent="0.2">
      <c r="C167" s="15"/>
      <c r="D167" s="19"/>
      <c r="E167" s="19"/>
      <c r="F167" s="19"/>
      <c r="G167" s="20"/>
    </row>
    <row r="168" spans="3:7" x14ac:dyDescent="0.2">
      <c r="C168" s="15"/>
      <c r="D168" s="19"/>
      <c r="E168" s="19"/>
      <c r="F168" s="19"/>
      <c r="G168" s="20"/>
    </row>
    <row r="169" spans="3:7" x14ac:dyDescent="0.2">
      <c r="C169" s="15"/>
      <c r="D169" s="19"/>
      <c r="E169" s="19"/>
      <c r="F169" s="19"/>
      <c r="G169" s="20"/>
    </row>
    <row r="170" spans="3:7" x14ac:dyDescent="0.2">
      <c r="C170" s="15"/>
      <c r="D170" s="19"/>
      <c r="E170" s="19"/>
      <c r="F170" s="19"/>
      <c r="G170" s="20"/>
    </row>
    <row r="171" spans="3:7" x14ac:dyDescent="0.2">
      <c r="C171" s="15"/>
      <c r="D171" s="19"/>
      <c r="E171" s="19"/>
      <c r="F171" s="19"/>
      <c r="G171" s="20"/>
    </row>
    <row r="172" spans="3:7" x14ac:dyDescent="0.2">
      <c r="C172" s="15"/>
      <c r="D172" s="19"/>
      <c r="E172" s="19"/>
      <c r="F172" s="19"/>
      <c r="G172" s="20"/>
    </row>
    <row r="173" spans="3:7" x14ac:dyDescent="0.2">
      <c r="C173" s="15"/>
      <c r="D173" s="19"/>
      <c r="E173" s="19"/>
      <c r="F173" s="19"/>
      <c r="G173" s="20"/>
    </row>
    <row r="174" spans="3:7" x14ac:dyDescent="0.2">
      <c r="C174" s="15"/>
      <c r="D174" s="19"/>
      <c r="E174" s="19"/>
      <c r="F174" s="19"/>
      <c r="G174" s="20"/>
    </row>
    <row r="175" spans="3:7" x14ac:dyDescent="0.2">
      <c r="C175" s="15"/>
      <c r="D175" s="19"/>
      <c r="E175" s="19"/>
      <c r="F175" s="19"/>
      <c r="G175" s="20"/>
    </row>
    <row r="176" spans="3:7" x14ac:dyDescent="0.2">
      <c r="C176" s="15"/>
      <c r="D176" s="19"/>
      <c r="E176" s="19"/>
      <c r="F176" s="19"/>
      <c r="G176" s="20"/>
    </row>
    <row r="177" spans="3:7" x14ac:dyDescent="0.2">
      <c r="C177" s="15"/>
      <c r="D177" s="19"/>
      <c r="E177" s="19"/>
      <c r="F177" s="19"/>
      <c r="G177" s="20"/>
    </row>
    <row r="178" spans="3:7" x14ac:dyDescent="0.2">
      <c r="C178" s="15"/>
      <c r="D178" s="19"/>
      <c r="E178" s="19"/>
      <c r="F178" s="19"/>
      <c r="G178" s="20"/>
    </row>
    <row r="179" spans="3:7" x14ac:dyDescent="0.2">
      <c r="C179" s="15"/>
      <c r="D179" s="19"/>
      <c r="E179" s="19"/>
      <c r="F179" s="19"/>
      <c r="G179" s="20"/>
    </row>
    <row r="180" spans="3:7" x14ac:dyDescent="0.2">
      <c r="C180" s="15"/>
      <c r="D180" s="19"/>
      <c r="E180" s="19"/>
      <c r="F180" s="19"/>
      <c r="G180" s="20"/>
    </row>
    <row r="181" spans="3:7" x14ac:dyDescent="0.2">
      <c r="C181" s="15"/>
      <c r="D181" s="19"/>
      <c r="E181" s="19"/>
      <c r="F181" s="19"/>
      <c r="G181" s="20"/>
    </row>
    <row r="182" spans="3:7" x14ac:dyDescent="0.2">
      <c r="C182" s="15"/>
      <c r="D182" s="19"/>
      <c r="E182" s="19"/>
      <c r="F182" s="19"/>
      <c r="G182" s="20"/>
    </row>
    <row r="183" spans="3:7" x14ac:dyDescent="0.2">
      <c r="C183" s="15"/>
      <c r="D183" s="19"/>
      <c r="E183" s="19"/>
      <c r="F183" s="19"/>
      <c r="G183" s="20"/>
    </row>
    <row r="184" spans="3:7" x14ac:dyDescent="0.2">
      <c r="C184" s="15"/>
      <c r="D184" s="19"/>
      <c r="E184" s="19"/>
      <c r="F184" s="19"/>
      <c r="G184" s="20"/>
    </row>
    <row r="185" spans="3:7" x14ac:dyDescent="0.2">
      <c r="C185" s="15"/>
      <c r="D185" s="19"/>
      <c r="E185" s="19"/>
      <c r="F185" s="19"/>
      <c r="G185" s="20"/>
    </row>
    <row r="186" spans="3:7" x14ac:dyDescent="0.2">
      <c r="C186" s="15"/>
      <c r="D186" s="19"/>
      <c r="E186" s="19"/>
      <c r="F186" s="19"/>
      <c r="G186" s="20"/>
    </row>
    <row r="187" spans="3:7" x14ac:dyDescent="0.2">
      <c r="C187" s="15"/>
      <c r="D187" s="19"/>
      <c r="E187" s="19"/>
      <c r="F187" s="19"/>
      <c r="G187" s="20"/>
    </row>
    <row r="188" spans="3:7" x14ac:dyDescent="0.2">
      <c r="C188" s="15"/>
      <c r="D188" s="19"/>
      <c r="E188" s="19"/>
      <c r="F188" s="19"/>
      <c r="G188" s="20"/>
    </row>
    <row r="189" spans="3:7" x14ac:dyDescent="0.2">
      <c r="C189" s="15"/>
      <c r="D189" s="19"/>
      <c r="E189" s="19"/>
      <c r="F189" s="19"/>
      <c r="G189" s="20"/>
    </row>
    <row r="190" spans="3:7" x14ac:dyDescent="0.2">
      <c r="C190" s="15"/>
      <c r="D190" s="19"/>
      <c r="E190" s="19"/>
      <c r="F190" s="19"/>
      <c r="G190" s="20"/>
    </row>
    <row r="191" spans="3:7" x14ac:dyDescent="0.2">
      <c r="C191" s="15"/>
      <c r="D191" s="19"/>
      <c r="E191" s="19"/>
      <c r="F191" s="19"/>
      <c r="G191" s="20"/>
    </row>
    <row r="192" spans="3:7" x14ac:dyDescent="0.2">
      <c r="C192" s="15"/>
      <c r="D192" s="19"/>
      <c r="E192" s="19"/>
      <c r="F192" s="19"/>
      <c r="G192" s="20"/>
    </row>
    <row r="193" spans="3:7" x14ac:dyDescent="0.2">
      <c r="C193" s="15"/>
      <c r="D193" s="19"/>
      <c r="E193" s="19"/>
      <c r="F193" s="19"/>
      <c r="G193" s="20"/>
    </row>
    <row r="194" spans="3:7" x14ac:dyDescent="0.2">
      <c r="C194" s="15"/>
      <c r="D194" s="19"/>
      <c r="E194" s="19"/>
      <c r="F194" s="19"/>
      <c r="G194" s="20"/>
    </row>
    <row r="195" spans="3:7" x14ac:dyDescent="0.2">
      <c r="C195" s="15"/>
      <c r="D195" s="19"/>
      <c r="E195" s="19"/>
      <c r="F195" s="19"/>
      <c r="G195" s="20"/>
    </row>
    <row r="196" spans="3:7" x14ac:dyDescent="0.2">
      <c r="C196" s="15"/>
      <c r="D196" s="19"/>
      <c r="E196" s="19"/>
      <c r="F196" s="19"/>
      <c r="G196" s="20"/>
    </row>
    <row r="197" spans="3:7" x14ac:dyDescent="0.2">
      <c r="C197" s="15"/>
      <c r="D197" s="19"/>
      <c r="E197" s="19"/>
      <c r="F197" s="19"/>
      <c r="G197" s="20"/>
    </row>
    <row r="198" spans="3:7" x14ac:dyDescent="0.2">
      <c r="C198" s="15"/>
      <c r="D198" s="19"/>
      <c r="E198" s="19"/>
      <c r="F198" s="19"/>
      <c r="G198" s="20"/>
    </row>
    <row r="199" spans="3:7" x14ac:dyDescent="0.2">
      <c r="C199" s="15"/>
      <c r="D199" s="19"/>
      <c r="E199" s="19"/>
      <c r="F199" s="19"/>
      <c r="G199" s="20"/>
    </row>
    <row r="200" spans="3:7" x14ac:dyDescent="0.2">
      <c r="C200" s="15"/>
      <c r="D200" s="19"/>
      <c r="E200" s="19"/>
      <c r="F200" s="19"/>
      <c r="G200" s="20"/>
    </row>
    <row r="201" spans="3:7" x14ac:dyDescent="0.2">
      <c r="C201" s="15"/>
      <c r="D201" s="19"/>
      <c r="E201" s="19"/>
      <c r="F201" s="19"/>
      <c r="G201" s="20"/>
    </row>
    <row r="202" spans="3:7" x14ac:dyDescent="0.2">
      <c r="C202" s="15"/>
      <c r="D202" s="19"/>
      <c r="E202" s="19"/>
      <c r="F202" s="19"/>
      <c r="G202" s="20"/>
    </row>
    <row r="203" spans="3:7" x14ac:dyDescent="0.2">
      <c r="C203" s="15"/>
      <c r="D203" s="19"/>
      <c r="E203" s="19"/>
      <c r="F203" s="19"/>
      <c r="G203" s="20"/>
    </row>
    <row r="204" spans="3:7" x14ac:dyDescent="0.2">
      <c r="C204" s="15"/>
      <c r="D204" s="19"/>
      <c r="E204" s="19"/>
      <c r="F204" s="19"/>
      <c r="G204" s="20"/>
    </row>
    <row r="205" spans="3:7" x14ac:dyDescent="0.2">
      <c r="C205" s="15"/>
      <c r="D205" s="19"/>
      <c r="E205" s="19"/>
      <c r="F205" s="19"/>
      <c r="G205" s="20"/>
    </row>
    <row r="206" spans="3:7" x14ac:dyDescent="0.2">
      <c r="C206" s="15"/>
      <c r="D206" s="19"/>
      <c r="E206" s="19"/>
      <c r="F206" s="19"/>
      <c r="G206" s="20"/>
    </row>
    <row r="207" spans="3:7" x14ac:dyDescent="0.2">
      <c r="C207" s="15"/>
      <c r="D207" s="19"/>
      <c r="E207" s="19"/>
      <c r="F207" s="19"/>
      <c r="G207" s="20"/>
    </row>
    <row r="208" spans="3:7" x14ac:dyDescent="0.2">
      <c r="C208" s="15"/>
      <c r="D208" s="19"/>
      <c r="E208" s="19"/>
      <c r="F208" s="19"/>
      <c r="G208" s="20"/>
    </row>
    <row r="209" spans="3:7" x14ac:dyDescent="0.2">
      <c r="C209" s="15"/>
      <c r="D209" s="19"/>
      <c r="E209" s="19"/>
      <c r="F209" s="19"/>
      <c r="G209" s="20"/>
    </row>
    <row r="210" spans="3:7" x14ac:dyDescent="0.2">
      <c r="C210" s="15"/>
      <c r="D210" s="19"/>
      <c r="E210" s="19"/>
      <c r="F210" s="19"/>
      <c r="G210" s="20"/>
    </row>
    <row r="211" spans="3:7" x14ac:dyDescent="0.2">
      <c r="C211" s="15"/>
      <c r="D211" s="19"/>
      <c r="E211" s="19"/>
      <c r="F211" s="19"/>
      <c r="G211" s="20"/>
    </row>
    <row r="212" spans="3:7" x14ac:dyDescent="0.2">
      <c r="C212" s="15"/>
      <c r="D212" s="19"/>
      <c r="E212" s="19"/>
      <c r="F212" s="19"/>
      <c r="G212" s="20"/>
    </row>
    <row r="213" spans="3:7" x14ac:dyDescent="0.2">
      <c r="C213" s="15"/>
      <c r="D213" s="19"/>
      <c r="E213" s="19"/>
      <c r="F213" s="19"/>
      <c r="G213" s="20"/>
    </row>
    <row r="214" spans="3:7" x14ac:dyDescent="0.2">
      <c r="C214" s="15"/>
      <c r="D214" s="19"/>
      <c r="E214" s="19"/>
      <c r="F214" s="19"/>
      <c r="G214" s="20"/>
    </row>
    <row r="215" spans="3:7" x14ac:dyDescent="0.2">
      <c r="C215" s="15"/>
      <c r="D215" s="19"/>
      <c r="E215" s="19"/>
      <c r="F215" s="19"/>
      <c r="G215" s="20"/>
    </row>
    <row r="216" spans="3:7" x14ac:dyDescent="0.2">
      <c r="C216" s="15"/>
      <c r="D216" s="19"/>
      <c r="E216" s="19"/>
      <c r="F216" s="19"/>
      <c r="G216" s="20"/>
    </row>
    <row r="217" spans="3:7" x14ac:dyDescent="0.2">
      <c r="C217" s="15"/>
      <c r="D217" s="19"/>
      <c r="E217" s="19"/>
      <c r="F217" s="19"/>
      <c r="G217" s="20"/>
    </row>
    <row r="218" spans="3:7" x14ac:dyDescent="0.2">
      <c r="C218" s="15"/>
      <c r="D218" s="19"/>
      <c r="E218" s="19"/>
      <c r="F218" s="19"/>
      <c r="G218" s="20"/>
    </row>
    <row r="219" spans="3:7" x14ac:dyDescent="0.2">
      <c r="C219" s="15"/>
      <c r="D219" s="19"/>
      <c r="E219" s="19"/>
      <c r="F219" s="19"/>
      <c r="G219" s="20"/>
    </row>
    <row r="220" spans="3:7" x14ac:dyDescent="0.2">
      <c r="C220" s="15"/>
      <c r="D220" s="19"/>
      <c r="E220" s="19"/>
      <c r="F220" s="19"/>
      <c r="G220" s="20"/>
    </row>
    <row r="221" spans="3:7" x14ac:dyDescent="0.2">
      <c r="C221" s="15"/>
      <c r="D221" s="19"/>
      <c r="E221" s="19"/>
      <c r="F221" s="19"/>
      <c r="G221" s="20"/>
    </row>
    <row r="222" spans="3:7" x14ac:dyDescent="0.2">
      <c r="C222" s="15"/>
      <c r="D222" s="19"/>
      <c r="E222" s="19"/>
      <c r="F222" s="19"/>
      <c r="G222" s="20"/>
    </row>
    <row r="223" spans="3:7" x14ac:dyDescent="0.2">
      <c r="C223" s="15"/>
      <c r="D223" s="19"/>
      <c r="E223" s="19"/>
      <c r="F223" s="19"/>
      <c r="G223" s="20"/>
    </row>
    <row r="224" spans="3:7" x14ac:dyDescent="0.2">
      <c r="C224" s="15"/>
      <c r="D224" s="19"/>
      <c r="E224" s="19"/>
      <c r="F224" s="19"/>
      <c r="G224" s="20"/>
    </row>
    <row r="225" spans="3:7" x14ac:dyDescent="0.2">
      <c r="C225" s="15"/>
      <c r="D225" s="19"/>
      <c r="E225" s="19"/>
      <c r="F225" s="19"/>
      <c r="G225" s="20"/>
    </row>
    <row r="226" spans="3:7" x14ac:dyDescent="0.2">
      <c r="C226" s="15"/>
      <c r="D226" s="19"/>
      <c r="E226" s="19"/>
      <c r="F226" s="19"/>
      <c r="G226" s="20"/>
    </row>
    <row r="227" spans="3:7" x14ac:dyDescent="0.2">
      <c r="C227" s="15"/>
      <c r="D227" s="19"/>
      <c r="E227" s="19"/>
      <c r="F227" s="19"/>
      <c r="G227" s="20"/>
    </row>
    <row r="228" spans="3:7" x14ac:dyDescent="0.2">
      <c r="C228" s="15"/>
      <c r="D228" s="19"/>
      <c r="E228" s="19"/>
      <c r="F228" s="19"/>
      <c r="G228" s="20"/>
    </row>
    <row r="229" spans="3:7" x14ac:dyDescent="0.2">
      <c r="C229" s="15"/>
      <c r="D229" s="19"/>
      <c r="E229" s="19"/>
      <c r="F229" s="19"/>
      <c r="G229" s="20"/>
    </row>
    <row r="230" spans="3:7" x14ac:dyDescent="0.2">
      <c r="C230" s="15"/>
      <c r="D230" s="19"/>
      <c r="E230" s="19"/>
      <c r="F230" s="19"/>
      <c r="G230" s="20"/>
    </row>
    <row r="231" spans="3:7" x14ac:dyDescent="0.2">
      <c r="C231" s="15"/>
      <c r="D231" s="19"/>
      <c r="E231" s="19"/>
      <c r="F231" s="19"/>
      <c r="G231" s="20"/>
    </row>
    <row r="232" spans="3:7" x14ac:dyDescent="0.2">
      <c r="C232" s="15"/>
      <c r="D232" s="19"/>
      <c r="E232" s="19"/>
      <c r="F232" s="19"/>
      <c r="G232" s="20"/>
    </row>
    <row r="233" spans="3:7" x14ac:dyDescent="0.2">
      <c r="C233" s="15"/>
      <c r="D233" s="19"/>
      <c r="E233" s="19"/>
      <c r="F233" s="19"/>
      <c r="G233" s="20"/>
    </row>
    <row r="234" spans="3:7" x14ac:dyDescent="0.2">
      <c r="C234" s="15"/>
      <c r="D234" s="19"/>
      <c r="E234" s="19"/>
      <c r="F234" s="19"/>
      <c r="G234" s="20"/>
    </row>
    <row r="235" spans="3:7" x14ac:dyDescent="0.2">
      <c r="C235" s="15"/>
      <c r="D235" s="19"/>
      <c r="E235" s="19"/>
      <c r="F235" s="19"/>
      <c r="G235" s="20"/>
    </row>
    <row r="236" spans="3:7" x14ac:dyDescent="0.2">
      <c r="C236" s="15"/>
      <c r="D236" s="19"/>
      <c r="E236" s="19"/>
      <c r="F236" s="19"/>
      <c r="G236" s="20"/>
    </row>
    <row r="237" spans="3:7" x14ac:dyDescent="0.2">
      <c r="C237" s="15"/>
      <c r="D237" s="19"/>
      <c r="E237" s="19"/>
      <c r="F237" s="19"/>
      <c r="G237" s="20"/>
    </row>
    <row r="238" spans="3:7" x14ac:dyDescent="0.2">
      <c r="C238" s="15"/>
      <c r="D238" s="19"/>
      <c r="E238" s="19"/>
      <c r="F238" s="19"/>
      <c r="G238" s="20"/>
    </row>
    <row r="239" spans="3:7" x14ac:dyDescent="0.2">
      <c r="C239" s="15"/>
      <c r="D239" s="19"/>
      <c r="E239" s="19"/>
      <c r="F239" s="19"/>
      <c r="G239" s="20"/>
    </row>
    <row r="240" spans="3:7" x14ac:dyDescent="0.2">
      <c r="C240" s="15"/>
      <c r="D240" s="19"/>
      <c r="E240" s="19"/>
      <c r="F240" s="19"/>
      <c r="G240" s="20"/>
    </row>
    <row r="241" spans="3:7" x14ac:dyDescent="0.2">
      <c r="C241" s="15"/>
      <c r="D241" s="19"/>
      <c r="E241" s="19"/>
      <c r="F241" s="19"/>
      <c r="G241" s="20"/>
    </row>
    <row r="242" spans="3:7" x14ac:dyDescent="0.2">
      <c r="C242" s="15"/>
      <c r="D242" s="19"/>
      <c r="E242" s="19"/>
      <c r="F242" s="19"/>
      <c r="G242" s="20"/>
    </row>
    <row r="243" spans="3:7" x14ac:dyDescent="0.2">
      <c r="C243" s="15"/>
      <c r="D243" s="19"/>
      <c r="E243" s="19"/>
      <c r="F243" s="19"/>
      <c r="G243" s="20"/>
    </row>
    <row r="244" spans="3:7" x14ac:dyDescent="0.2">
      <c r="C244" s="15"/>
      <c r="D244" s="19"/>
      <c r="E244" s="19"/>
      <c r="F244" s="19"/>
      <c r="G244" s="20"/>
    </row>
    <row r="245" spans="3:7" x14ac:dyDescent="0.2">
      <c r="C245" s="15"/>
      <c r="D245" s="19"/>
      <c r="E245" s="19"/>
      <c r="F245" s="19"/>
      <c r="G245" s="20"/>
    </row>
    <row r="246" spans="3:7" x14ac:dyDescent="0.2">
      <c r="C246" s="15"/>
      <c r="D246" s="19"/>
      <c r="E246" s="19"/>
      <c r="F246" s="19"/>
      <c r="G246" s="20"/>
    </row>
    <row r="247" spans="3:7" x14ac:dyDescent="0.2">
      <c r="C247" s="15"/>
      <c r="D247" s="19"/>
      <c r="E247" s="19"/>
      <c r="F247" s="19"/>
      <c r="G247" s="20"/>
    </row>
    <row r="248" spans="3:7" x14ac:dyDescent="0.2">
      <c r="C248" s="15"/>
      <c r="D248" s="19"/>
      <c r="E248" s="19"/>
      <c r="F248" s="19"/>
      <c r="G248" s="20"/>
    </row>
    <row r="249" spans="3:7" x14ac:dyDescent="0.2">
      <c r="C249" s="15"/>
      <c r="D249" s="19"/>
      <c r="E249" s="19"/>
      <c r="F249" s="19"/>
      <c r="G249" s="20"/>
    </row>
    <row r="250" spans="3:7" x14ac:dyDescent="0.2">
      <c r="C250" s="15"/>
      <c r="D250" s="19"/>
      <c r="E250" s="19"/>
      <c r="F250" s="19"/>
      <c r="G250" s="20"/>
    </row>
    <row r="251" spans="3:7" x14ac:dyDescent="0.2">
      <c r="C251" s="15"/>
      <c r="D251" s="19"/>
      <c r="E251" s="19"/>
      <c r="F251" s="19"/>
      <c r="G251" s="20"/>
    </row>
    <row r="252" spans="3:7" x14ac:dyDescent="0.2">
      <c r="C252" s="15"/>
      <c r="D252" s="19"/>
      <c r="E252" s="19"/>
      <c r="F252" s="19"/>
      <c r="G252" s="20"/>
    </row>
    <row r="253" spans="3:7" x14ac:dyDescent="0.2">
      <c r="C253" s="15"/>
      <c r="D253" s="19"/>
      <c r="E253" s="19"/>
      <c r="F253" s="19"/>
      <c r="G253" s="20"/>
    </row>
    <row r="254" spans="3:7" x14ac:dyDescent="0.2">
      <c r="C254" s="15"/>
      <c r="D254" s="19"/>
      <c r="E254" s="19"/>
      <c r="F254" s="19"/>
      <c r="G254" s="20"/>
    </row>
    <row r="255" spans="3:7" x14ac:dyDescent="0.2">
      <c r="C255" s="15"/>
      <c r="D255" s="19"/>
      <c r="E255" s="19"/>
      <c r="F255" s="19"/>
      <c r="G255" s="20"/>
    </row>
    <row r="256" spans="3:7" x14ac:dyDescent="0.2">
      <c r="C256" s="15"/>
      <c r="D256" s="19"/>
      <c r="E256" s="19"/>
      <c r="F256" s="19"/>
      <c r="G256" s="20"/>
    </row>
    <row r="257" spans="3:7" x14ac:dyDescent="0.2">
      <c r="C257" s="15"/>
      <c r="D257" s="19"/>
      <c r="E257" s="19"/>
      <c r="F257" s="19"/>
      <c r="G257" s="20"/>
    </row>
    <row r="258" spans="3:7" x14ac:dyDescent="0.2">
      <c r="C258" s="15"/>
      <c r="D258" s="19"/>
      <c r="E258" s="19"/>
      <c r="F258" s="19"/>
      <c r="G258" s="20"/>
    </row>
    <row r="259" spans="3:7" x14ac:dyDescent="0.2">
      <c r="C259" s="15"/>
      <c r="D259" s="19"/>
      <c r="E259" s="19"/>
      <c r="F259" s="19"/>
      <c r="G259" s="20"/>
    </row>
    <row r="260" spans="3:7" x14ac:dyDescent="0.2">
      <c r="C260" s="15"/>
      <c r="D260" s="19"/>
      <c r="E260" s="19"/>
      <c r="F260" s="19"/>
      <c r="G260" s="20"/>
    </row>
    <row r="261" spans="3:7" x14ac:dyDescent="0.2">
      <c r="C261" s="15"/>
      <c r="D261" s="19"/>
      <c r="E261" s="19"/>
      <c r="F261" s="19"/>
      <c r="G261" s="20"/>
    </row>
    <row r="262" spans="3:7" x14ac:dyDescent="0.2">
      <c r="C262" s="15"/>
      <c r="D262" s="19"/>
      <c r="E262" s="19"/>
      <c r="F262" s="19"/>
      <c r="G262" s="20"/>
    </row>
    <row r="263" spans="3:7" x14ac:dyDescent="0.2">
      <c r="C263" s="15"/>
      <c r="D263" s="19"/>
      <c r="E263" s="19"/>
      <c r="F263" s="19"/>
      <c r="G263" s="20"/>
    </row>
    <row r="264" spans="3:7" x14ac:dyDescent="0.2">
      <c r="C264" s="15"/>
      <c r="D264" s="19"/>
      <c r="E264" s="19"/>
      <c r="F264" s="19"/>
      <c r="G264" s="20"/>
    </row>
    <row r="265" spans="3:7" x14ac:dyDescent="0.2">
      <c r="C265" s="15"/>
      <c r="D265" s="19"/>
      <c r="E265" s="19"/>
      <c r="F265" s="19"/>
      <c r="G265" s="20"/>
    </row>
    <row r="266" spans="3:7" x14ac:dyDescent="0.2">
      <c r="C266" s="15"/>
      <c r="D266" s="19"/>
      <c r="E266" s="19"/>
      <c r="F266" s="19"/>
      <c r="G266" s="20"/>
    </row>
    <row r="267" spans="3:7" x14ac:dyDescent="0.2">
      <c r="C267" s="15"/>
      <c r="D267" s="19"/>
      <c r="E267" s="19"/>
      <c r="F267" s="19"/>
      <c r="G267" s="20"/>
    </row>
    <row r="268" spans="3:7" x14ac:dyDescent="0.2">
      <c r="C268" s="15"/>
      <c r="D268" s="19"/>
      <c r="E268" s="19"/>
      <c r="F268" s="19"/>
      <c r="G268" s="20"/>
    </row>
    <row r="269" spans="3:7" x14ac:dyDescent="0.2">
      <c r="C269" s="15"/>
      <c r="D269" s="19"/>
      <c r="E269" s="19"/>
      <c r="F269" s="19"/>
      <c r="G269" s="20"/>
    </row>
    <row r="270" spans="3:7" x14ac:dyDescent="0.2">
      <c r="C270" s="15"/>
      <c r="D270" s="19"/>
      <c r="E270" s="19"/>
      <c r="F270" s="19"/>
      <c r="G270" s="20"/>
    </row>
    <row r="271" spans="3:7" x14ac:dyDescent="0.2">
      <c r="C271" s="15"/>
      <c r="D271" s="19"/>
      <c r="E271" s="19"/>
      <c r="F271" s="19"/>
      <c r="G271" s="20"/>
    </row>
    <row r="272" spans="3:7" x14ac:dyDescent="0.2">
      <c r="C272" s="15"/>
      <c r="D272" s="19"/>
      <c r="E272" s="19"/>
      <c r="F272" s="19"/>
      <c r="G272" s="20"/>
    </row>
    <row r="273" spans="3:7" x14ac:dyDescent="0.2">
      <c r="C273" s="15"/>
      <c r="D273" s="19"/>
      <c r="E273" s="19"/>
      <c r="F273" s="19"/>
      <c r="G273" s="20"/>
    </row>
    <row r="274" spans="3:7" x14ac:dyDescent="0.2">
      <c r="C274" s="15"/>
      <c r="D274" s="19"/>
      <c r="E274" s="19"/>
      <c r="F274" s="19"/>
      <c r="G274" s="20"/>
    </row>
    <row r="275" spans="3:7" x14ac:dyDescent="0.2">
      <c r="C275" s="15"/>
      <c r="D275" s="19"/>
      <c r="E275" s="19"/>
      <c r="F275" s="19"/>
      <c r="G275" s="20"/>
    </row>
    <row r="276" spans="3:7" x14ac:dyDescent="0.2">
      <c r="C276" s="15"/>
      <c r="D276" s="19"/>
      <c r="E276" s="19"/>
      <c r="F276" s="19"/>
      <c r="G276" s="20"/>
    </row>
    <row r="277" spans="3:7" x14ac:dyDescent="0.2">
      <c r="C277" s="15"/>
      <c r="D277" s="19"/>
      <c r="E277" s="19"/>
      <c r="F277" s="19"/>
      <c r="G277" s="20"/>
    </row>
    <row r="278" spans="3:7" x14ac:dyDescent="0.2">
      <c r="C278" s="15"/>
      <c r="D278" s="19"/>
      <c r="E278" s="19"/>
      <c r="F278" s="19"/>
      <c r="G278" s="20"/>
    </row>
    <row r="279" spans="3:7" x14ac:dyDescent="0.2">
      <c r="C279" s="15"/>
      <c r="D279" s="19"/>
      <c r="E279" s="19"/>
      <c r="F279" s="19"/>
      <c r="G279" s="20"/>
    </row>
    <row r="280" spans="3:7" x14ac:dyDescent="0.2">
      <c r="C280" s="15"/>
      <c r="D280" s="19"/>
      <c r="E280" s="19"/>
      <c r="F280" s="19"/>
      <c r="G280" s="20"/>
    </row>
    <row r="281" spans="3:7" x14ac:dyDescent="0.2">
      <c r="C281" s="15"/>
      <c r="D281" s="19"/>
      <c r="E281" s="19"/>
      <c r="F281" s="19"/>
      <c r="G281" s="20"/>
    </row>
    <row r="282" spans="3:7" x14ac:dyDescent="0.2">
      <c r="C282" s="15"/>
      <c r="D282" s="19"/>
      <c r="E282" s="19"/>
      <c r="F282" s="19"/>
      <c r="G282" s="20"/>
    </row>
    <row r="283" spans="3:7" x14ac:dyDescent="0.2">
      <c r="C283" s="15"/>
      <c r="D283" s="19"/>
      <c r="E283" s="19"/>
      <c r="F283" s="19"/>
      <c r="G283" s="20"/>
    </row>
    <row r="284" spans="3:7" x14ac:dyDescent="0.2">
      <c r="C284" s="15"/>
      <c r="D284" s="19"/>
      <c r="E284" s="19"/>
      <c r="F284" s="19"/>
      <c r="G284" s="20"/>
    </row>
    <row r="285" spans="3:7" x14ac:dyDescent="0.2">
      <c r="C285" s="15"/>
      <c r="D285" s="19"/>
      <c r="E285" s="19"/>
      <c r="F285" s="19"/>
      <c r="G285" s="20"/>
    </row>
    <row r="286" spans="3:7" x14ac:dyDescent="0.2">
      <c r="C286" s="15"/>
      <c r="D286" s="19"/>
      <c r="E286" s="19"/>
      <c r="F286" s="19"/>
      <c r="G286" s="20"/>
    </row>
    <row r="287" spans="3:7" x14ac:dyDescent="0.2">
      <c r="C287" s="15"/>
      <c r="D287" s="19"/>
      <c r="E287" s="19"/>
      <c r="F287" s="19"/>
      <c r="G287" s="20"/>
    </row>
    <row r="288" spans="3:7" x14ac:dyDescent="0.2">
      <c r="C288" s="15"/>
      <c r="D288" s="19"/>
      <c r="E288" s="19"/>
      <c r="F288" s="19"/>
      <c r="G288" s="20"/>
    </row>
    <row r="289" spans="3:7" x14ac:dyDescent="0.2">
      <c r="C289" s="15"/>
      <c r="D289" s="19"/>
      <c r="E289" s="19"/>
      <c r="F289" s="19"/>
      <c r="G289" s="20"/>
    </row>
    <row r="290" spans="3:7" x14ac:dyDescent="0.2">
      <c r="C290" s="15"/>
      <c r="D290" s="19"/>
      <c r="E290" s="19"/>
      <c r="F290" s="19"/>
      <c r="G290" s="20"/>
    </row>
    <row r="291" spans="3:7" x14ac:dyDescent="0.2">
      <c r="C291" s="15"/>
      <c r="D291" s="19"/>
      <c r="E291" s="19"/>
      <c r="F291" s="19"/>
      <c r="G291" s="20"/>
    </row>
    <row r="292" spans="3:7" x14ac:dyDescent="0.2">
      <c r="C292" s="15"/>
      <c r="D292" s="19"/>
      <c r="E292" s="19"/>
      <c r="F292" s="19"/>
      <c r="G292" s="20"/>
    </row>
    <row r="293" spans="3:7" x14ac:dyDescent="0.2">
      <c r="C293" s="15"/>
      <c r="D293" s="19"/>
      <c r="E293" s="19"/>
      <c r="F293" s="19"/>
      <c r="G293" s="20"/>
    </row>
    <row r="294" spans="3:7" x14ac:dyDescent="0.2">
      <c r="C294" s="15"/>
      <c r="D294" s="19"/>
      <c r="E294" s="19"/>
      <c r="F294" s="19"/>
      <c r="G294" s="20"/>
    </row>
    <row r="295" spans="3:7" x14ac:dyDescent="0.2">
      <c r="C295" s="15"/>
      <c r="D295" s="19"/>
      <c r="E295" s="19"/>
      <c r="F295" s="19"/>
      <c r="G295" s="20"/>
    </row>
    <row r="296" spans="3:7" x14ac:dyDescent="0.2">
      <c r="C296" s="15"/>
      <c r="D296" s="19"/>
      <c r="E296" s="19"/>
      <c r="F296" s="19"/>
      <c r="G296" s="20"/>
    </row>
    <row r="297" spans="3:7" x14ac:dyDescent="0.2">
      <c r="C297" s="15"/>
      <c r="D297" s="19"/>
      <c r="E297" s="19"/>
      <c r="F297" s="19"/>
      <c r="G297" s="20"/>
    </row>
    <row r="298" spans="3:7" x14ac:dyDescent="0.2">
      <c r="C298" s="15"/>
      <c r="D298" s="19"/>
      <c r="E298" s="19"/>
      <c r="F298" s="19"/>
      <c r="G298" s="20"/>
    </row>
    <row r="299" spans="3:7" x14ac:dyDescent="0.2">
      <c r="C299" s="15"/>
      <c r="D299" s="19"/>
      <c r="E299" s="19"/>
      <c r="F299" s="19"/>
      <c r="G299" s="20"/>
    </row>
    <row r="300" spans="3:7" x14ac:dyDescent="0.2">
      <c r="C300" s="15"/>
      <c r="D300" s="19"/>
      <c r="E300" s="19"/>
      <c r="F300" s="19"/>
      <c r="G300" s="20"/>
    </row>
    <row r="301" spans="3:7" x14ac:dyDescent="0.2">
      <c r="C301" s="15"/>
      <c r="D301" s="19"/>
      <c r="E301" s="19"/>
      <c r="F301" s="19"/>
      <c r="G301" s="20"/>
    </row>
    <row r="302" spans="3:7" x14ac:dyDescent="0.2">
      <c r="C302" s="15"/>
      <c r="D302" s="19"/>
      <c r="E302" s="19"/>
      <c r="F302" s="19"/>
      <c r="G302" s="20"/>
    </row>
    <row r="303" spans="3:7" x14ac:dyDescent="0.2">
      <c r="C303" s="15"/>
      <c r="D303" s="19"/>
      <c r="E303" s="19"/>
      <c r="F303" s="19"/>
      <c r="G303" s="20"/>
    </row>
    <row r="304" spans="3:7" x14ac:dyDescent="0.2">
      <c r="C304" s="15"/>
      <c r="D304" s="19"/>
      <c r="E304" s="19"/>
      <c r="F304" s="19"/>
      <c r="G304" s="20"/>
    </row>
    <row r="305" spans="3:7" x14ac:dyDescent="0.2">
      <c r="C305" s="15"/>
      <c r="D305" s="19"/>
      <c r="E305" s="19"/>
      <c r="F305" s="19"/>
      <c r="G305" s="20"/>
    </row>
    <row r="306" spans="3:7" x14ac:dyDescent="0.2">
      <c r="C306" s="15"/>
      <c r="D306" s="19"/>
      <c r="E306" s="19"/>
      <c r="F306" s="19"/>
      <c r="G306" s="20"/>
    </row>
    <row r="307" spans="3:7" x14ac:dyDescent="0.2">
      <c r="C307" s="15"/>
      <c r="D307" s="19"/>
      <c r="E307" s="19"/>
      <c r="F307" s="19"/>
      <c r="G307" s="20"/>
    </row>
    <row r="308" spans="3:7" x14ac:dyDescent="0.2">
      <c r="C308" s="15"/>
      <c r="D308" s="19"/>
      <c r="E308" s="19"/>
      <c r="F308" s="19"/>
      <c r="G308" s="20"/>
    </row>
    <row r="309" spans="3:7" x14ac:dyDescent="0.2">
      <c r="C309" s="15"/>
      <c r="D309" s="19"/>
      <c r="E309" s="19"/>
      <c r="F309" s="19"/>
      <c r="G309" s="20"/>
    </row>
    <row r="310" spans="3:7" x14ac:dyDescent="0.2">
      <c r="C310" s="15"/>
      <c r="D310" s="19"/>
      <c r="E310" s="19"/>
      <c r="F310" s="19"/>
      <c r="G310" s="20"/>
    </row>
    <row r="311" spans="3:7" x14ac:dyDescent="0.2">
      <c r="C311" s="15"/>
      <c r="D311" s="19"/>
      <c r="E311" s="19"/>
      <c r="F311" s="19"/>
      <c r="G311" s="20"/>
    </row>
    <row r="312" spans="3:7" x14ac:dyDescent="0.2">
      <c r="C312" s="15"/>
      <c r="D312" s="19"/>
      <c r="E312" s="19"/>
      <c r="F312" s="19"/>
      <c r="G312" s="20"/>
    </row>
    <row r="313" spans="3:7" x14ac:dyDescent="0.2">
      <c r="C313" s="15"/>
      <c r="D313" s="19"/>
      <c r="E313" s="19"/>
      <c r="F313" s="19"/>
      <c r="G313" s="20"/>
    </row>
    <row r="314" spans="3:7" x14ac:dyDescent="0.2">
      <c r="C314" s="15"/>
      <c r="D314" s="19"/>
      <c r="E314" s="19"/>
      <c r="F314" s="19"/>
      <c r="G314" s="20"/>
    </row>
    <row r="315" spans="3:7" x14ac:dyDescent="0.2">
      <c r="C315" s="15"/>
      <c r="D315" s="19"/>
      <c r="E315" s="19"/>
      <c r="F315" s="19"/>
      <c r="G315" s="20"/>
    </row>
    <row r="316" spans="3:7" x14ac:dyDescent="0.2">
      <c r="C316" s="15"/>
      <c r="D316" s="19"/>
      <c r="E316" s="19"/>
      <c r="F316" s="19"/>
      <c r="G316" s="20"/>
    </row>
    <row r="317" spans="3:7" x14ac:dyDescent="0.2">
      <c r="C317" s="15"/>
      <c r="D317" s="19"/>
      <c r="E317" s="19"/>
      <c r="F317" s="19"/>
      <c r="G317" s="20"/>
    </row>
    <row r="318" spans="3:7" x14ac:dyDescent="0.2">
      <c r="C318" s="15"/>
      <c r="D318" s="19"/>
      <c r="E318" s="19"/>
      <c r="F318" s="19"/>
      <c r="G318" s="20"/>
    </row>
    <row r="319" spans="3:7" x14ac:dyDescent="0.2">
      <c r="C319" s="15"/>
      <c r="D319" s="19"/>
      <c r="E319" s="19"/>
      <c r="F319" s="19"/>
      <c r="G319" s="20"/>
    </row>
    <row r="320" spans="3:7" x14ac:dyDescent="0.2">
      <c r="C320" s="15"/>
      <c r="D320" s="19"/>
      <c r="E320" s="19"/>
      <c r="F320" s="19"/>
      <c r="G320" s="20"/>
    </row>
    <row r="321" spans="3:7" x14ac:dyDescent="0.2">
      <c r="C321" s="15"/>
      <c r="D321" s="19"/>
      <c r="E321" s="19"/>
      <c r="F321" s="19"/>
      <c r="G321" s="20"/>
    </row>
    <row r="322" spans="3:7" x14ac:dyDescent="0.2">
      <c r="C322" s="15"/>
      <c r="D322" s="19"/>
      <c r="E322" s="19"/>
      <c r="F322" s="19"/>
      <c r="G322" s="20"/>
    </row>
    <row r="323" spans="3:7" x14ac:dyDescent="0.2">
      <c r="C323" s="15"/>
      <c r="D323" s="19"/>
      <c r="E323" s="19"/>
      <c r="F323" s="19"/>
      <c r="G323" s="20"/>
    </row>
    <row r="324" spans="3:7" x14ac:dyDescent="0.2">
      <c r="C324" s="15"/>
      <c r="D324" s="15"/>
      <c r="E324" s="15"/>
      <c r="F324" s="15"/>
      <c r="G324" s="15"/>
    </row>
    <row r="325" spans="3:7" x14ac:dyDescent="0.2">
      <c r="C325" s="15"/>
      <c r="D325" s="19"/>
      <c r="E325" s="19"/>
      <c r="F325" s="19"/>
      <c r="G325" s="19"/>
    </row>
    <row r="326" spans="3:7" x14ac:dyDescent="0.2">
      <c r="C326" s="15"/>
      <c r="D326" s="19"/>
      <c r="E326" s="19"/>
      <c r="F326" s="19"/>
      <c r="G326" s="19"/>
    </row>
    <row r="327" spans="3:7" x14ac:dyDescent="0.2">
      <c r="C327" s="15"/>
      <c r="D327" s="19"/>
      <c r="E327" s="19"/>
      <c r="F327" s="19"/>
      <c r="G327" s="19"/>
    </row>
    <row r="328" spans="3:7" x14ac:dyDescent="0.2">
      <c r="C328" s="15"/>
      <c r="D328" s="19"/>
      <c r="E328" s="19"/>
      <c r="F328" s="19"/>
      <c r="G328" s="19"/>
    </row>
    <row r="329" spans="3:7" x14ac:dyDescent="0.2">
      <c r="C329" s="15"/>
      <c r="D329" s="19"/>
      <c r="E329" s="19"/>
      <c r="F329" s="19"/>
      <c r="G329" s="19"/>
    </row>
    <row r="330" spans="3:7" x14ac:dyDescent="0.2">
      <c r="C330" s="15"/>
      <c r="D330" s="19"/>
      <c r="E330" s="19"/>
      <c r="F330" s="19"/>
      <c r="G330" s="19"/>
    </row>
    <row r="331" spans="3:7" x14ac:dyDescent="0.2">
      <c r="C331" s="15"/>
      <c r="D331" s="19"/>
      <c r="E331" s="19"/>
      <c r="F331" s="19"/>
      <c r="G331" s="19"/>
    </row>
    <row r="332" spans="3:7" x14ac:dyDescent="0.2">
      <c r="C332" s="15"/>
      <c r="D332" s="19"/>
      <c r="E332" s="19"/>
      <c r="F332" s="19"/>
      <c r="G332" s="19"/>
    </row>
    <row r="333" spans="3:7" x14ac:dyDescent="0.2">
      <c r="C333" s="15"/>
      <c r="D333" s="19"/>
      <c r="E333" s="19"/>
      <c r="F333" s="19"/>
      <c r="G333" s="19"/>
    </row>
    <row r="334" spans="3:7" x14ac:dyDescent="0.2">
      <c r="C334" s="15"/>
      <c r="D334" s="19"/>
      <c r="E334" s="19"/>
      <c r="F334" s="19"/>
      <c r="G334" s="19"/>
    </row>
    <row r="335" spans="3:7" x14ac:dyDescent="0.2">
      <c r="C335" s="15"/>
      <c r="D335" s="19"/>
      <c r="E335" s="19"/>
      <c r="F335" s="19"/>
      <c r="G335" s="19"/>
    </row>
    <row r="336" spans="3:7" x14ac:dyDescent="0.2">
      <c r="C336" s="15"/>
      <c r="D336" s="19"/>
      <c r="E336" s="19"/>
      <c r="F336" s="19"/>
      <c r="G336" s="19"/>
    </row>
    <row r="337" spans="3:7" x14ac:dyDescent="0.2">
      <c r="C337" s="15"/>
      <c r="D337" s="19"/>
      <c r="E337" s="19"/>
      <c r="F337" s="19"/>
      <c r="G337" s="19"/>
    </row>
    <row r="338" spans="3:7" x14ac:dyDescent="0.2">
      <c r="C338" s="15"/>
      <c r="D338" s="19"/>
      <c r="E338" s="19"/>
      <c r="F338" s="19"/>
      <c r="G338" s="19"/>
    </row>
    <row r="339" spans="3:7" x14ac:dyDescent="0.2">
      <c r="C339" s="15"/>
      <c r="D339" s="19"/>
      <c r="E339" s="19"/>
      <c r="F339" s="19"/>
      <c r="G339" s="19"/>
    </row>
    <row r="340" spans="3:7" x14ac:dyDescent="0.2">
      <c r="C340" s="15"/>
      <c r="D340" s="19"/>
      <c r="E340" s="19"/>
      <c r="F340" s="19"/>
      <c r="G340" s="19"/>
    </row>
    <row r="341" spans="3:7" x14ac:dyDescent="0.2">
      <c r="C341" s="15"/>
      <c r="D341" s="19"/>
      <c r="E341" s="19"/>
      <c r="F341" s="19"/>
      <c r="G341" s="19"/>
    </row>
    <row r="342" spans="3:7" x14ac:dyDescent="0.2">
      <c r="C342" s="15"/>
      <c r="D342" s="19"/>
      <c r="E342" s="19"/>
      <c r="F342" s="19"/>
      <c r="G342" s="19"/>
    </row>
    <row r="343" spans="3:7" x14ac:dyDescent="0.2">
      <c r="C343" s="15"/>
      <c r="D343" s="19"/>
      <c r="E343" s="19"/>
      <c r="F343" s="19"/>
      <c r="G343" s="19"/>
    </row>
    <row r="344" spans="3:7" x14ac:dyDescent="0.2">
      <c r="C344" s="15"/>
      <c r="D344" s="19"/>
      <c r="E344" s="19"/>
      <c r="F344" s="19"/>
      <c r="G344" s="19"/>
    </row>
    <row r="345" spans="3:7" x14ac:dyDescent="0.2">
      <c r="C345" s="15"/>
      <c r="D345" s="19"/>
      <c r="E345" s="19"/>
      <c r="F345" s="19"/>
      <c r="G345" s="19"/>
    </row>
    <row r="346" spans="3:7" x14ac:dyDescent="0.2">
      <c r="C346" s="15"/>
      <c r="D346" s="19"/>
      <c r="E346" s="19"/>
      <c r="F346" s="19"/>
      <c r="G346" s="19"/>
    </row>
    <row r="347" spans="3:7" x14ac:dyDescent="0.2">
      <c r="C347" s="15"/>
      <c r="D347" s="19"/>
      <c r="E347" s="19"/>
      <c r="F347" s="19"/>
      <c r="G347" s="19"/>
    </row>
    <row r="348" spans="3:7" x14ac:dyDescent="0.2">
      <c r="C348" s="15"/>
      <c r="D348" s="19"/>
      <c r="E348" s="19"/>
      <c r="F348" s="19"/>
      <c r="G348" s="19"/>
    </row>
    <row r="349" spans="3:7" x14ac:dyDescent="0.2">
      <c r="C349" s="15"/>
      <c r="D349" s="19"/>
      <c r="E349" s="19"/>
      <c r="F349" s="19"/>
      <c r="G349" s="19"/>
    </row>
    <row r="350" spans="3:7" x14ac:dyDescent="0.2">
      <c r="C350" s="15"/>
      <c r="D350" s="19"/>
      <c r="E350" s="19"/>
      <c r="F350" s="19"/>
      <c r="G350" s="19"/>
    </row>
    <row r="351" spans="3:7" x14ac:dyDescent="0.2">
      <c r="C351" s="15"/>
      <c r="D351" s="19"/>
      <c r="E351" s="19"/>
      <c r="F351" s="19"/>
      <c r="G351" s="19"/>
    </row>
    <row r="352" spans="3:7" x14ac:dyDescent="0.2">
      <c r="C352" s="15"/>
      <c r="D352" s="19"/>
      <c r="E352" s="19"/>
      <c r="F352" s="19"/>
      <c r="G352" s="19"/>
    </row>
    <row r="353" spans="3:7" x14ac:dyDescent="0.2">
      <c r="C353" s="15"/>
      <c r="D353" s="19"/>
      <c r="E353" s="19"/>
      <c r="F353" s="19"/>
      <c r="G353" s="19"/>
    </row>
    <row r="354" spans="3:7" x14ac:dyDescent="0.2">
      <c r="C354" s="15"/>
      <c r="D354" s="19"/>
      <c r="E354" s="19"/>
      <c r="F354" s="19"/>
      <c r="G354" s="19"/>
    </row>
    <row r="355" spans="3:7" x14ac:dyDescent="0.2">
      <c r="C355" s="15"/>
      <c r="D355" s="19"/>
      <c r="E355" s="19"/>
      <c r="F355" s="19"/>
      <c r="G355" s="19"/>
    </row>
    <row r="356" spans="3:7" x14ac:dyDescent="0.2">
      <c r="C356" s="15"/>
      <c r="D356" s="19"/>
      <c r="E356" s="19"/>
      <c r="F356" s="19"/>
      <c r="G356" s="19"/>
    </row>
    <row r="357" spans="3:7" x14ac:dyDescent="0.2">
      <c r="C357" s="15"/>
      <c r="D357" s="19"/>
      <c r="E357" s="19"/>
      <c r="F357" s="19"/>
      <c r="G357" s="19"/>
    </row>
    <row r="358" spans="3:7" x14ac:dyDescent="0.2">
      <c r="C358" s="15"/>
      <c r="D358" s="19"/>
      <c r="E358" s="19"/>
      <c r="F358" s="19"/>
      <c r="G358" s="19"/>
    </row>
    <row r="359" spans="3:7" x14ac:dyDescent="0.2">
      <c r="C359" s="15"/>
      <c r="D359" s="19"/>
      <c r="E359" s="19"/>
      <c r="F359" s="19"/>
      <c r="G359" s="19"/>
    </row>
    <row r="360" spans="3:7" x14ac:dyDescent="0.2">
      <c r="C360" s="15"/>
      <c r="D360" s="19"/>
      <c r="E360" s="19"/>
      <c r="F360" s="19"/>
      <c r="G360" s="19"/>
    </row>
    <row r="361" spans="3:7" x14ac:dyDescent="0.2">
      <c r="C361" s="15"/>
      <c r="D361" s="19"/>
      <c r="E361" s="19"/>
      <c r="F361" s="19"/>
      <c r="G361" s="19"/>
    </row>
    <row r="362" spans="3:7" x14ac:dyDescent="0.2">
      <c r="C362" s="15"/>
      <c r="D362" s="19"/>
      <c r="E362" s="19"/>
      <c r="F362" s="19"/>
      <c r="G362" s="19"/>
    </row>
    <row r="363" spans="3:7" x14ac:dyDescent="0.2">
      <c r="C363" s="15"/>
      <c r="D363" s="19"/>
      <c r="E363" s="19"/>
      <c r="F363" s="19"/>
      <c r="G363" s="19"/>
    </row>
    <row r="364" spans="3:7" x14ac:dyDescent="0.2">
      <c r="C364" s="15"/>
      <c r="D364" s="19"/>
      <c r="E364" s="19"/>
      <c r="F364" s="19"/>
      <c r="G364" s="19"/>
    </row>
    <row r="365" spans="3:7" x14ac:dyDescent="0.2">
      <c r="C365" s="15"/>
      <c r="D365" s="19"/>
      <c r="E365" s="19"/>
      <c r="F365" s="19"/>
      <c r="G365" s="19"/>
    </row>
    <row r="366" spans="3:7" x14ac:dyDescent="0.2">
      <c r="C366" s="15"/>
      <c r="D366" s="19"/>
      <c r="E366" s="19"/>
      <c r="F366" s="19"/>
      <c r="G366" s="19"/>
    </row>
    <row r="367" spans="3:7" x14ac:dyDescent="0.2">
      <c r="C367" s="15"/>
      <c r="D367" s="19"/>
      <c r="E367" s="19"/>
      <c r="F367" s="19"/>
      <c r="G367" s="19"/>
    </row>
    <row r="368" spans="3:7" x14ac:dyDescent="0.2">
      <c r="C368" s="15"/>
      <c r="D368" s="19"/>
      <c r="E368" s="19"/>
      <c r="F368" s="19"/>
      <c r="G368" s="19"/>
    </row>
    <row r="369" spans="3:7" x14ac:dyDescent="0.2">
      <c r="C369" s="15"/>
      <c r="D369" s="19"/>
      <c r="E369" s="19"/>
      <c r="F369" s="19"/>
      <c r="G369" s="19"/>
    </row>
    <row r="370" spans="3:7" x14ac:dyDescent="0.2">
      <c r="C370" s="15"/>
      <c r="D370" s="19"/>
      <c r="E370" s="19"/>
      <c r="F370" s="19"/>
      <c r="G370" s="19"/>
    </row>
    <row r="371" spans="3:7" x14ac:dyDescent="0.2">
      <c r="C371" s="15"/>
      <c r="D371" s="19"/>
      <c r="E371" s="19"/>
      <c r="F371" s="19"/>
      <c r="G371" s="19"/>
    </row>
    <row r="372" spans="3:7" x14ac:dyDescent="0.2">
      <c r="C372" s="15"/>
      <c r="D372" s="19"/>
      <c r="E372" s="19"/>
      <c r="F372" s="19"/>
      <c r="G372" s="19"/>
    </row>
    <row r="373" spans="3:7" x14ac:dyDescent="0.2">
      <c r="C373" s="15"/>
      <c r="D373" s="19"/>
      <c r="E373" s="19"/>
      <c r="F373" s="19"/>
      <c r="G373" s="19"/>
    </row>
    <row r="374" spans="3:7" x14ac:dyDescent="0.2">
      <c r="C374" s="15"/>
      <c r="D374" s="19"/>
      <c r="E374" s="19"/>
      <c r="F374" s="19"/>
      <c r="G374" s="19"/>
    </row>
    <row r="375" spans="3:7" x14ac:dyDescent="0.2">
      <c r="C375" s="15"/>
      <c r="D375" s="19"/>
      <c r="E375" s="19"/>
      <c r="F375" s="19"/>
      <c r="G375" s="19"/>
    </row>
    <row r="376" spans="3:7" x14ac:dyDescent="0.2">
      <c r="C376" s="15"/>
      <c r="D376" s="19"/>
      <c r="E376" s="19"/>
      <c r="F376" s="19"/>
      <c r="G376" s="19"/>
    </row>
    <row r="377" spans="3:7" x14ac:dyDescent="0.2">
      <c r="C377" s="15"/>
      <c r="D377" s="19"/>
      <c r="E377" s="19"/>
      <c r="F377" s="19"/>
      <c r="G377" s="19"/>
    </row>
    <row r="378" spans="3:7" x14ac:dyDescent="0.2">
      <c r="C378" s="15"/>
      <c r="D378" s="19"/>
      <c r="E378" s="19"/>
      <c r="F378" s="19"/>
      <c r="G378" s="19"/>
    </row>
    <row r="379" spans="3:7" x14ac:dyDescent="0.2">
      <c r="C379" s="15"/>
      <c r="D379" s="19"/>
      <c r="E379" s="19"/>
      <c r="F379" s="19"/>
      <c r="G379" s="19"/>
    </row>
    <row r="380" spans="3:7" x14ac:dyDescent="0.2">
      <c r="C380" s="15"/>
      <c r="D380" s="19"/>
      <c r="E380" s="19"/>
      <c r="F380" s="19"/>
      <c r="G380" s="19"/>
    </row>
    <row r="381" spans="3:7" x14ac:dyDescent="0.2">
      <c r="C381" s="15"/>
      <c r="D381" s="19"/>
      <c r="E381" s="19"/>
      <c r="F381" s="19"/>
      <c r="G381" s="19"/>
    </row>
    <row r="382" spans="3:7" x14ac:dyDescent="0.2">
      <c r="C382" s="15"/>
      <c r="D382" s="19"/>
      <c r="E382" s="19"/>
      <c r="F382" s="19"/>
      <c r="G382" s="19"/>
    </row>
    <row r="383" spans="3:7" x14ac:dyDescent="0.2">
      <c r="C383" s="15"/>
      <c r="D383" s="19"/>
      <c r="E383" s="19"/>
      <c r="F383" s="19"/>
      <c r="G383" s="19"/>
    </row>
    <row r="384" spans="3:7" x14ac:dyDescent="0.2">
      <c r="C384" s="15"/>
      <c r="D384" s="19"/>
      <c r="E384" s="19"/>
      <c r="F384" s="19"/>
      <c r="G384" s="19"/>
    </row>
    <row r="385" spans="3:7" x14ac:dyDescent="0.2">
      <c r="C385" s="15"/>
      <c r="D385" s="19"/>
      <c r="E385" s="19"/>
      <c r="F385" s="19"/>
      <c r="G385" s="19"/>
    </row>
    <row r="386" spans="3:7" x14ac:dyDescent="0.2">
      <c r="C386" s="15"/>
      <c r="D386" s="19"/>
      <c r="E386" s="19"/>
      <c r="F386" s="19"/>
      <c r="G386" s="19"/>
    </row>
    <row r="387" spans="3:7" x14ac:dyDescent="0.2">
      <c r="C387" s="15"/>
      <c r="D387" s="19"/>
      <c r="E387" s="19"/>
      <c r="F387" s="19"/>
      <c r="G387" s="19"/>
    </row>
    <row r="388" spans="3:7" x14ac:dyDescent="0.2">
      <c r="C388" s="15"/>
      <c r="D388" s="19"/>
      <c r="E388" s="19"/>
      <c r="F388" s="19"/>
      <c r="G388" s="19"/>
    </row>
    <row r="389" spans="3:7" x14ac:dyDescent="0.2">
      <c r="C389" s="15"/>
      <c r="D389" s="19"/>
      <c r="E389" s="19"/>
      <c r="F389" s="19"/>
      <c r="G389" s="19"/>
    </row>
    <row r="390" spans="3:7" x14ac:dyDescent="0.2">
      <c r="C390" s="15"/>
      <c r="D390" s="19"/>
      <c r="E390" s="19"/>
      <c r="F390" s="19"/>
      <c r="G390" s="19"/>
    </row>
    <row r="391" spans="3:7" x14ac:dyDescent="0.2">
      <c r="C391" s="15"/>
      <c r="D391" s="19"/>
      <c r="E391" s="19"/>
      <c r="F391" s="19"/>
      <c r="G391" s="19"/>
    </row>
    <row r="392" spans="3:7" x14ac:dyDescent="0.2">
      <c r="C392" s="15"/>
      <c r="D392" s="19"/>
      <c r="E392" s="19"/>
      <c r="F392" s="19"/>
      <c r="G392" s="19"/>
    </row>
    <row r="393" spans="3:7" x14ac:dyDescent="0.2">
      <c r="C393" s="15"/>
      <c r="D393" s="19"/>
      <c r="E393" s="19"/>
      <c r="F393" s="19"/>
      <c r="G393" s="19"/>
    </row>
    <row r="394" spans="3:7" x14ac:dyDescent="0.2">
      <c r="C394" s="15"/>
      <c r="D394" s="19"/>
      <c r="E394" s="19"/>
      <c r="F394" s="19"/>
      <c r="G394" s="19"/>
    </row>
    <row r="395" spans="3:7" x14ac:dyDescent="0.2">
      <c r="C395" s="15"/>
      <c r="D395" s="19"/>
      <c r="E395" s="19"/>
      <c r="F395" s="19"/>
      <c r="G395" s="19"/>
    </row>
    <row r="396" spans="3:7" x14ac:dyDescent="0.2">
      <c r="C396" s="15"/>
      <c r="D396" s="19"/>
      <c r="E396" s="19"/>
      <c r="F396" s="19"/>
      <c r="G396" s="19"/>
    </row>
    <row r="397" spans="3:7" x14ac:dyDescent="0.2">
      <c r="C397" s="15"/>
      <c r="D397" s="19"/>
      <c r="E397" s="19"/>
      <c r="F397" s="19"/>
      <c r="G397" s="19"/>
    </row>
    <row r="398" spans="3:7" x14ac:dyDescent="0.2">
      <c r="C398" s="15"/>
      <c r="D398" s="19"/>
      <c r="E398" s="19"/>
      <c r="F398" s="19"/>
      <c r="G398" s="19"/>
    </row>
    <row r="399" spans="3:7" x14ac:dyDescent="0.2">
      <c r="C399" s="15"/>
      <c r="D399" s="19"/>
      <c r="E399" s="19"/>
      <c r="F399" s="19"/>
      <c r="G399" s="19"/>
    </row>
    <row r="400" spans="3:7" x14ac:dyDescent="0.2">
      <c r="C400" s="15"/>
      <c r="D400" s="19"/>
      <c r="E400" s="19"/>
      <c r="F400" s="19"/>
      <c r="G400" s="19"/>
    </row>
    <row r="401" spans="3:7" x14ac:dyDescent="0.2">
      <c r="C401" s="15"/>
      <c r="D401" s="19"/>
      <c r="E401" s="19"/>
      <c r="F401" s="19"/>
      <c r="G401" s="19"/>
    </row>
    <row r="402" spans="3:7" x14ac:dyDescent="0.2">
      <c r="C402" s="15"/>
      <c r="D402" s="19"/>
      <c r="E402" s="19"/>
      <c r="F402" s="19"/>
      <c r="G402" s="19"/>
    </row>
    <row r="403" spans="3:7" x14ac:dyDescent="0.2">
      <c r="C403" s="15"/>
      <c r="D403" s="19"/>
      <c r="E403" s="19"/>
      <c r="F403" s="19"/>
      <c r="G403" s="19"/>
    </row>
    <row r="404" spans="3:7" x14ac:dyDescent="0.2">
      <c r="C404" s="15"/>
      <c r="D404" s="19"/>
      <c r="E404" s="19"/>
      <c r="F404" s="19"/>
      <c r="G404" s="19"/>
    </row>
    <row r="405" spans="3:7" x14ac:dyDescent="0.2">
      <c r="C405" s="15"/>
      <c r="D405" s="19"/>
      <c r="E405" s="19"/>
      <c r="F405" s="19"/>
      <c r="G405" s="19"/>
    </row>
    <row r="406" spans="3:7" x14ac:dyDescent="0.2">
      <c r="C406" s="15"/>
      <c r="D406" s="19"/>
      <c r="E406" s="19"/>
      <c r="F406" s="19"/>
      <c r="G406" s="19"/>
    </row>
    <row r="407" spans="3:7" x14ac:dyDescent="0.2">
      <c r="C407" s="15"/>
      <c r="D407" s="19"/>
      <c r="E407" s="19"/>
      <c r="F407" s="19"/>
      <c r="G407" s="19"/>
    </row>
    <row r="408" spans="3:7" x14ac:dyDescent="0.2">
      <c r="C408" s="15"/>
      <c r="D408" s="19"/>
      <c r="E408" s="19"/>
      <c r="F408" s="19"/>
      <c r="G408" s="19"/>
    </row>
    <row r="409" spans="3:7" x14ac:dyDescent="0.2">
      <c r="C409" s="15"/>
      <c r="D409" s="19"/>
      <c r="E409" s="19"/>
      <c r="F409" s="19"/>
      <c r="G409" s="19"/>
    </row>
    <row r="410" spans="3:7" x14ac:dyDescent="0.2">
      <c r="C410" s="15"/>
      <c r="D410" s="19"/>
      <c r="E410" s="19"/>
      <c r="F410" s="19"/>
      <c r="G410" s="19"/>
    </row>
    <row r="411" spans="3:7" x14ac:dyDescent="0.2">
      <c r="C411" s="15"/>
      <c r="D411" s="19"/>
      <c r="E411" s="19"/>
      <c r="F411" s="19"/>
      <c r="G411" s="19"/>
    </row>
    <row r="412" spans="3:7" x14ac:dyDescent="0.2">
      <c r="C412" s="15"/>
      <c r="D412" s="19"/>
      <c r="E412" s="19"/>
      <c r="F412" s="19"/>
      <c r="G412" s="19"/>
    </row>
    <row r="413" spans="3:7" x14ac:dyDescent="0.2">
      <c r="C413" s="15"/>
      <c r="D413" s="19"/>
      <c r="E413" s="19"/>
      <c r="F413" s="19"/>
      <c r="G413" s="19"/>
    </row>
    <row r="414" spans="3:7" x14ac:dyDescent="0.2">
      <c r="C414" s="15"/>
      <c r="D414" s="19"/>
      <c r="E414" s="19"/>
      <c r="F414" s="19"/>
      <c r="G414" s="19"/>
    </row>
    <row r="415" spans="3:7" x14ac:dyDescent="0.2">
      <c r="C415" s="15"/>
      <c r="D415" s="19"/>
      <c r="E415" s="19"/>
      <c r="F415" s="19"/>
      <c r="G415" s="19"/>
    </row>
    <row r="416" spans="3:7" x14ac:dyDescent="0.2">
      <c r="C416" s="15"/>
      <c r="D416" s="19"/>
      <c r="E416" s="19"/>
      <c r="F416" s="19"/>
      <c r="G416" s="19"/>
    </row>
    <row r="417" spans="3:7" x14ac:dyDescent="0.2">
      <c r="C417" s="15"/>
      <c r="D417" s="19"/>
      <c r="E417" s="19"/>
      <c r="F417" s="19"/>
      <c r="G417" s="19"/>
    </row>
    <row r="418" spans="3:7" x14ac:dyDescent="0.2">
      <c r="C418" s="15"/>
      <c r="D418" s="19"/>
      <c r="E418" s="19"/>
      <c r="F418" s="19"/>
      <c r="G418" s="19"/>
    </row>
    <row r="419" spans="3:7" x14ac:dyDescent="0.2">
      <c r="C419" s="15"/>
      <c r="D419" s="19"/>
      <c r="E419" s="19"/>
      <c r="F419" s="19"/>
      <c r="G419" s="19"/>
    </row>
    <row r="420" spans="3:7" x14ac:dyDescent="0.2">
      <c r="C420" s="15"/>
      <c r="D420" s="19"/>
      <c r="E420" s="19"/>
      <c r="F420" s="19"/>
      <c r="G420" s="19"/>
    </row>
    <row r="421" spans="3:7" x14ac:dyDescent="0.2">
      <c r="C421" s="15"/>
      <c r="D421" s="19"/>
      <c r="E421" s="19"/>
      <c r="F421" s="19"/>
      <c r="G421" s="19"/>
    </row>
    <row r="422" spans="3:7" x14ac:dyDescent="0.2">
      <c r="C422" s="15"/>
      <c r="D422" s="19"/>
      <c r="E422" s="19"/>
      <c r="F422" s="19"/>
      <c r="G422" s="19"/>
    </row>
    <row r="423" spans="3:7" x14ac:dyDescent="0.2">
      <c r="C423" s="15"/>
      <c r="D423" s="19"/>
      <c r="E423" s="19"/>
      <c r="F423" s="19"/>
      <c r="G423" s="19"/>
    </row>
    <row r="424" spans="3:7" x14ac:dyDescent="0.2">
      <c r="C424" s="15"/>
      <c r="D424" s="19"/>
      <c r="E424" s="19"/>
      <c r="F424" s="19"/>
      <c r="G424" s="19"/>
    </row>
    <row r="425" spans="3:7" x14ac:dyDescent="0.2">
      <c r="C425" s="15"/>
      <c r="D425" s="19"/>
      <c r="E425" s="19"/>
      <c r="F425" s="19"/>
      <c r="G425" s="19"/>
    </row>
    <row r="426" spans="3:7" x14ac:dyDescent="0.2">
      <c r="C426" s="15"/>
      <c r="D426" s="19"/>
      <c r="E426" s="19"/>
      <c r="F426" s="19"/>
      <c r="G426" s="19"/>
    </row>
    <row r="427" spans="3:7" x14ac:dyDescent="0.2">
      <c r="C427" s="15"/>
      <c r="D427" s="19"/>
      <c r="E427" s="19"/>
      <c r="F427" s="19"/>
      <c r="G427" s="19"/>
    </row>
    <row r="428" spans="3:7" x14ac:dyDescent="0.2">
      <c r="C428" s="15"/>
      <c r="D428" s="19"/>
      <c r="E428" s="19"/>
      <c r="F428" s="19"/>
      <c r="G428" s="19"/>
    </row>
    <row r="429" spans="3:7" x14ac:dyDescent="0.2">
      <c r="C429" s="15"/>
      <c r="D429" s="19"/>
      <c r="E429" s="19"/>
      <c r="F429" s="19"/>
      <c r="G429" s="19"/>
    </row>
    <row r="430" spans="3:7" x14ac:dyDescent="0.2">
      <c r="C430" s="15"/>
      <c r="D430" s="19"/>
      <c r="E430" s="19"/>
      <c r="F430" s="19"/>
      <c r="G430" s="19"/>
    </row>
    <row r="431" spans="3:7" x14ac:dyDescent="0.2">
      <c r="C431" s="15"/>
      <c r="D431" s="19"/>
      <c r="E431" s="19"/>
      <c r="F431" s="19"/>
      <c r="G431" s="19"/>
    </row>
    <row r="432" spans="3:7" x14ac:dyDescent="0.2">
      <c r="C432" s="15"/>
      <c r="D432" s="19"/>
      <c r="E432" s="19"/>
      <c r="F432" s="19"/>
      <c r="G432" s="19"/>
    </row>
    <row r="433" spans="3:7" x14ac:dyDescent="0.2">
      <c r="C433" s="15"/>
      <c r="D433" s="19"/>
      <c r="E433" s="19"/>
      <c r="F433" s="19"/>
      <c r="G433" s="19"/>
    </row>
    <row r="434" spans="3:7" x14ac:dyDescent="0.2">
      <c r="C434" s="15"/>
      <c r="D434" s="19"/>
      <c r="E434" s="19"/>
      <c r="F434" s="19"/>
      <c r="G434" s="19"/>
    </row>
    <row r="435" spans="3:7" x14ac:dyDescent="0.2">
      <c r="C435" s="15"/>
      <c r="D435" s="19"/>
      <c r="E435" s="19"/>
      <c r="F435" s="19"/>
      <c r="G435" s="19"/>
    </row>
    <row r="436" spans="3:7" x14ac:dyDescent="0.2">
      <c r="C436" s="15"/>
      <c r="D436" s="19"/>
      <c r="E436" s="19"/>
      <c r="F436" s="19"/>
      <c r="G436" s="19"/>
    </row>
    <row r="437" spans="3:7" x14ac:dyDescent="0.2">
      <c r="C437" s="15"/>
      <c r="D437" s="19"/>
      <c r="E437" s="19"/>
      <c r="F437" s="19"/>
      <c r="G437" s="19"/>
    </row>
    <row r="438" spans="3:7" x14ac:dyDescent="0.2">
      <c r="C438" s="15"/>
      <c r="D438" s="19"/>
      <c r="E438" s="19"/>
      <c r="F438" s="19"/>
      <c r="G438" s="19"/>
    </row>
    <row r="439" spans="3:7" x14ac:dyDescent="0.2">
      <c r="C439" s="15"/>
      <c r="D439" s="19"/>
      <c r="E439" s="19"/>
      <c r="F439" s="19"/>
      <c r="G439" s="19"/>
    </row>
    <row r="440" spans="3:7" x14ac:dyDescent="0.2">
      <c r="C440" s="15"/>
      <c r="D440" s="19"/>
      <c r="E440" s="19"/>
      <c r="F440" s="19"/>
      <c r="G440" s="19"/>
    </row>
    <row r="441" spans="3:7" x14ac:dyDescent="0.2">
      <c r="C441" s="15"/>
      <c r="D441" s="19"/>
      <c r="E441" s="19"/>
      <c r="F441" s="19"/>
      <c r="G441" s="19"/>
    </row>
    <row r="442" spans="3:7" x14ac:dyDescent="0.2">
      <c r="C442" s="15"/>
      <c r="D442" s="19"/>
      <c r="E442" s="19"/>
      <c r="F442" s="19"/>
      <c r="G442" s="19"/>
    </row>
    <row r="443" spans="3:7" x14ac:dyDescent="0.2">
      <c r="C443" s="15"/>
      <c r="D443" s="19"/>
      <c r="E443" s="19"/>
      <c r="F443" s="19"/>
      <c r="G443" s="19"/>
    </row>
    <row r="444" spans="3:7" x14ac:dyDescent="0.2">
      <c r="C444" s="15"/>
      <c r="D444" s="19"/>
      <c r="E444" s="19"/>
      <c r="F444" s="19"/>
      <c r="G444" s="19"/>
    </row>
    <row r="445" spans="3:7" x14ac:dyDescent="0.2">
      <c r="C445" s="15"/>
      <c r="D445" s="19"/>
      <c r="E445" s="19"/>
      <c r="F445" s="19"/>
      <c r="G445" s="19"/>
    </row>
    <row r="446" spans="3:7" x14ac:dyDescent="0.2">
      <c r="C446" s="15"/>
      <c r="D446" s="19"/>
      <c r="E446" s="19"/>
      <c r="F446" s="19"/>
      <c r="G446" s="19"/>
    </row>
    <row r="447" spans="3:7" x14ac:dyDescent="0.2">
      <c r="C447" s="15"/>
      <c r="D447" s="19"/>
      <c r="E447" s="19"/>
      <c r="F447" s="19"/>
      <c r="G447" s="19"/>
    </row>
    <row r="448" spans="3:7" x14ac:dyDescent="0.2">
      <c r="C448" s="15"/>
      <c r="D448" s="19"/>
      <c r="E448" s="19"/>
      <c r="F448" s="19"/>
      <c r="G448" s="19"/>
    </row>
    <row r="449" spans="3:7" x14ac:dyDescent="0.2">
      <c r="C449" s="15"/>
      <c r="D449" s="19"/>
      <c r="E449" s="19"/>
      <c r="F449" s="19"/>
      <c r="G449" s="19"/>
    </row>
    <row r="450" spans="3:7" x14ac:dyDescent="0.2">
      <c r="C450" s="15"/>
      <c r="D450" s="19"/>
      <c r="E450" s="19"/>
      <c r="F450" s="19"/>
      <c r="G450" s="19"/>
    </row>
    <row r="451" spans="3:7" x14ac:dyDescent="0.2">
      <c r="C451" s="15"/>
      <c r="D451" s="19"/>
      <c r="E451" s="19"/>
      <c r="F451" s="19"/>
      <c r="G451" s="19"/>
    </row>
    <row r="452" spans="3:7" x14ac:dyDescent="0.2">
      <c r="C452" s="15"/>
      <c r="D452" s="19"/>
      <c r="E452" s="19"/>
      <c r="F452" s="19"/>
      <c r="G452" s="19"/>
    </row>
    <row r="453" spans="3:7" x14ac:dyDescent="0.2">
      <c r="C453" s="15"/>
      <c r="D453" s="19"/>
      <c r="E453" s="19"/>
      <c r="F453" s="19"/>
      <c r="G453" s="19"/>
    </row>
    <row r="454" spans="3:7" x14ac:dyDescent="0.2">
      <c r="C454" s="15"/>
      <c r="D454" s="19"/>
      <c r="E454" s="19"/>
      <c r="F454" s="19"/>
      <c r="G454" s="19"/>
    </row>
    <row r="455" spans="3:7" x14ac:dyDescent="0.2">
      <c r="C455" s="15"/>
      <c r="D455" s="19"/>
      <c r="E455" s="19"/>
      <c r="F455" s="19"/>
      <c r="G455" s="19"/>
    </row>
    <row r="456" spans="3:7" x14ac:dyDescent="0.2">
      <c r="C456" s="15"/>
      <c r="D456" s="19"/>
      <c r="E456" s="19"/>
      <c r="F456" s="19"/>
      <c r="G456" s="19"/>
    </row>
    <row r="457" spans="3:7" x14ac:dyDescent="0.2">
      <c r="C457" s="15"/>
      <c r="D457" s="19"/>
      <c r="E457" s="19"/>
      <c r="F457" s="19"/>
      <c r="G457" s="19"/>
    </row>
    <row r="458" spans="3:7" x14ac:dyDescent="0.2">
      <c r="C458" s="15"/>
      <c r="D458" s="19"/>
      <c r="E458" s="19"/>
      <c r="F458" s="19"/>
      <c r="G458" s="19"/>
    </row>
    <row r="459" spans="3:7" x14ac:dyDescent="0.2">
      <c r="C459" s="15"/>
      <c r="D459" s="19"/>
      <c r="E459" s="19"/>
      <c r="F459" s="19"/>
      <c r="G459" s="19"/>
    </row>
    <row r="460" spans="3:7" x14ac:dyDescent="0.2">
      <c r="C460" s="15"/>
      <c r="D460" s="19"/>
      <c r="E460" s="19"/>
      <c r="F460" s="19"/>
      <c r="G460" s="19"/>
    </row>
    <row r="461" spans="3:7" x14ac:dyDescent="0.2">
      <c r="C461" s="15"/>
      <c r="D461" s="19"/>
      <c r="E461" s="19"/>
      <c r="F461" s="19"/>
      <c r="G461" s="19"/>
    </row>
    <row r="462" spans="3:7" x14ac:dyDescent="0.2">
      <c r="C462" s="15"/>
      <c r="D462" s="19"/>
      <c r="E462" s="19"/>
      <c r="F462" s="19"/>
      <c r="G462" s="19"/>
    </row>
    <row r="463" spans="3:7" x14ac:dyDescent="0.2">
      <c r="C463" s="15"/>
      <c r="D463" s="19"/>
      <c r="E463" s="19"/>
      <c r="F463" s="19"/>
      <c r="G463" s="19"/>
    </row>
    <row r="464" spans="3:7" x14ac:dyDescent="0.2">
      <c r="C464" s="15"/>
      <c r="D464" s="19"/>
      <c r="E464" s="19"/>
      <c r="F464" s="19"/>
      <c r="G464" s="19"/>
    </row>
    <row r="465" spans="3:7" x14ac:dyDescent="0.2">
      <c r="C465" s="15"/>
      <c r="D465" s="19"/>
      <c r="E465" s="19"/>
      <c r="F465" s="19"/>
      <c r="G465" s="19"/>
    </row>
    <row r="466" spans="3:7" x14ac:dyDescent="0.2">
      <c r="C466" s="15"/>
      <c r="D466" s="19"/>
      <c r="E466" s="19"/>
      <c r="F466" s="19"/>
      <c r="G466" s="19"/>
    </row>
    <row r="467" spans="3:7" x14ac:dyDescent="0.2">
      <c r="C467" s="15"/>
      <c r="D467" s="19"/>
      <c r="E467" s="19"/>
      <c r="F467" s="19"/>
      <c r="G467" s="19"/>
    </row>
    <row r="468" spans="3:7" x14ac:dyDescent="0.2">
      <c r="C468" s="15"/>
      <c r="D468" s="19"/>
      <c r="E468" s="19"/>
      <c r="F468" s="19"/>
      <c r="G468" s="19"/>
    </row>
    <row r="469" spans="3:7" x14ac:dyDescent="0.2">
      <c r="C469" s="15"/>
      <c r="D469" s="19"/>
      <c r="E469" s="19"/>
      <c r="F469" s="19"/>
      <c r="G469" s="19"/>
    </row>
    <row r="470" spans="3:7" x14ac:dyDescent="0.2">
      <c r="C470" s="15"/>
      <c r="D470" s="19"/>
      <c r="E470" s="19"/>
      <c r="F470" s="19"/>
      <c r="G470" s="19"/>
    </row>
    <row r="471" spans="3:7" x14ac:dyDescent="0.2">
      <c r="C471" s="15"/>
      <c r="D471" s="19"/>
      <c r="E471" s="19"/>
      <c r="F471" s="19"/>
      <c r="G471" s="19"/>
    </row>
    <row r="472" spans="3:7" x14ac:dyDescent="0.2">
      <c r="C472" s="15"/>
      <c r="D472" s="19"/>
      <c r="E472" s="19"/>
      <c r="F472" s="19"/>
      <c r="G472" s="19"/>
    </row>
    <row r="473" spans="3:7" x14ac:dyDescent="0.2">
      <c r="C473" s="15"/>
      <c r="D473" s="19"/>
      <c r="E473" s="19"/>
      <c r="F473" s="19"/>
      <c r="G473" s="19"/>
    </row>
    <row r="474" spans="3:7" x14ac:dyDescent="0.2">
      <c r="C474" s="15"/>
      <c r="D474" s="19"/>
      <c r="E474" s="19"/>
      <c r="F474" s="19"/>
      <c r="G474" s="19"/>
    </row>
    <row r="475" spans="3:7" x14ac:dyDescent="0.2">
      <c r="C475" s="15"/>
      <c r="D475" s="19"/>
      <c r="E475" s="19"/>
      <c r="F475" s="19"/>
      <c r="G475" s="19"/>
    </row>
    <row r="476" spans="3:7" x14ac:dyDescent="0.2">
      <c r="C476" s="15"/>
      <c r="D476" s="19"/>
      <c r="E476" s="19"/>
      <c r="F476" s="19"/>
      <c r="G476" s="19"/>
    </row>
    <row r="477" spans="3:7" x14ac:dyDescent="0.2">
      <c r="C477" s="15"/>
      <c r="D477" s="19"/>
      <c r="E477" s="19"/>
      <c r="F477" s="19"/>
      <c r="G477" s="19"/>
    </row>
    <row r="478" spans="3:7" x14ac:dyDescent="0.2">
      <c r="C478" s="15"/>
      <c r="D478" s="19"/>
      <c r="E478" s="19"/>
      <c r="F478" s="19"/>
      <c r="G478" s="19"/>
    </row>
    <row r="479" spans="3:7" x14ac:dyDescent="0.2">
      <c r="C479" s="15"/>
      <c r="D479" s="19"/>
      <c r="E479" s="19"/>
      <c r="F479" s="19"/>
      <c r="G479" s="19"/>
    </row>
    <row r="480" spans="3:7" x14ac:dyDescent="0.2">
      <c r="C480" s="15"/>
      <c r="D480" s="19"/>
      <c r="E480" s="19"/>
      <c r="F480" s="19"/>
      <c r="G480" s="19"/>
    </row>
    <row r="481" spans="3:7" x14ac:dyDescent="0.2">
      <c r="C481" s="15"/>
      <c r="D481" s="19"/>
      <c r="E481" s="19"/>
      <c r="F481" s="19"/>
      <c r="G481" s="19"/>
    </row>
    <row r="482" spans="3:7" x14ac:dyDescent="0.2">
      <c r="C482" s="15"/>
      <c r="D482" s="19"/>
      <c r="E482" s="19"/>
      <c r="F482" s="19"/>
      <c r="G482" s="19"/>
    </row>
    <row r="483" spans="3:7" x14ac:dyDescent="0.2">
      <c r="C483" s="15"/>
      <c r="D483" s="19"/>
      <c r="E483" s="19"/>
      <c r="F483" s="19"/>
      <c r="G483" s="19"/>
    </row>
    <row r="484" spans="3:7" x14ac:dyDescent="0.2">
      <c r="C484" s="15"/>
      <c r="D484" s="19"/>
      <c r="E484" s="19"/>
      <c r="F484" s="19"/>
      <c r="G484" s="19"/>
    </row>
    <row r="485" spans="3:7" x14ac:dyDescent="0.2">
      <c r="C485" s="15"/>
      <c r="D485" s="19"/>
      <c r="E485" s="19"/>
      <c r="F485" s="19"/>
      <c r="G485" s="19"/>
    </row>
    <row r="486" spans="3:7" x14ac:dyDescent="0.2">
      <c r="C486" s="15"/>
      <c r="D486" s="19"/>
      <c r="E486" s="19"/>
      <c r="F486" s="19"/>
      <c r="G486" s="19"/>
    </row>
    <row r="487" spans="3:7" x14ac:dyDescent="0.2">
      <c r="C487" s="15"/>
      <c r="D487" s="19"/>
      <c r="E487" s="19"/>
      <c r="F487" s="19"/>
      <c r="G487" s="19"/>
    </row>
    <row r="488" spans="3:7" x14ac:dyDescent="0.2">
      <c r="C488" s="15"/>
      <c r="D488" s="19"/>
      <c r="E488" s="19"/>
      <c r="F488" s="19"/>
      <c r="G488" s="19"/>
    </row>
    <row r="489" spans="3:7" x14ac:dyDescent="0.2">
      <c r="C489" s="15"/>
      <c r="D489" s="19"/>
      <c r="E489" s="19"/>
      <c r="F489" s="19"/>
      <c r="G489" s="19"/>
    </row>
    <row r="490" spans="3:7" x14ac:dyDescent="0.2">
      <c r="C490" s="15"/>
      <c r="D490" s="19"/>
      <c r="E490" s="19"/>
      <c r="F490" s="19"/>
      <c r="G490" s="19"/>
    </row>
    <row r="491" spans="3:7" x14ac:dyDescent="0.2">
      <c r="C491" s="15"/>
      <c r="D491" s="19"/>
      <c r="E491" s="19"/>
      <c r="F491" s="19"/>
      <c r="G491" s="19"/>
    </row>
    <row r="492" spans="3:7" x14ac:dyDescent="0.2">
      <c r="C492" s="15"/>
      <c r="D492" s="19"/>
      <c r="E492" s="19"/>
      <c r="F492" s="19"/>
      <c r="G492" s="19"/>
    </row>
    <row r="493" spans="3:7" x14ac:dyDescent="0.2">
      <c r="C493" s="15"/>
      <c r="D493" s="19"/>
      <c r="E493" s="19"/>
      <c r="F493" s="19"/>
      <c r="G493" s="19"/>
    </row>
    <row r="494" spans="3:7" x14ac:dyDescent="0.2">
      <c r="C494" s="15"/>
      <c r="D494" s="19"/>
      <c r="E494" s="19"/>
      <c r="F494" s="19"/>
      <c r="G494" s="19"/>
    </row>
    <row r="495" spans="3:7" x14ac:dyDescent="0.2">
      <c r="C495" s="15"/>
      <c r="D495" s="19"/>
      <c r="E495" s="19"/>
      <c r="F495" s="19"/>
      <c r="G495" s="19"/>
    </row>
    <row r="496" spans="3:7" x14ac:dyDescent="0.2">
      <c r="C496" s="15"/>
      <c r="D496" s="19"/>
      <c r="E496" s="19"/>
      <c r="F496" s="19"/>
      <c r="G496" s="19"/>
    </row>
    <row r="497" spans="3:7" x14ac:dyDescent="0.2">
      <c r="C497" s="15"/>
      <c r="D497" s="19"/>
      <c r="E497" s="19"/>
      <c r="F497" s="19"/>
      <c r="G497" s="19"/>
    </row>
    <row r="498" spans="3:7" x14ac:dyDescent="0.2">
      <c r="C498" s="15"/>
      <c r="D498" s="19"/>
      <c r="E498" s="19"/>
      <c r="F498" s="19"/>
      <c r="G498" s="19"/>
    </row>
    <row r="499" spans="3:7" x14ac:dyDescent="0.2">
      <c r="C499" s="15"/>
      <c r="D499" s="19"/>
      <c r="E499" s="19"/>
      <c r="F499" s="19"/>
      <c r="G499" s="19"/>
    </row>
    <row r="500" spans="3:7" x14ac:dyDescent="0.2">
      <c r="C500" s="15"/>
      <c r="D500" s="19"/>
      <c r="E500" s="19"/>
      <c r="F500" s="19"/>
      <c r="G500" s="19"/>
    </row>
    <row r="501" spans="3:7" x14ac:dyDescent="0.2">
      <c r="C501" s="15"/>
      <c r="D501" s="19"/>
      <c r="E501" s="19"/>
      <c r="F501" s="19"/>
      <c r="G501" s="19"/>
    </row>
    <row r="502" spans="3:7" x14ac:dyDescent="0.2">
      <c r="C502" s="15"/>
      <c r="D502" s="19"/>
      <c r="E502" s="19"/>
      <c r="F502" s="19"/>
      <c r="G502" s="19"/>
    </row>
    <row r="503" spans="3:7" x14ac:dyDescent="0.2">
      <c r="C503" s="15"/>
      <c r="D503" s="19"/>
      <c r="E503" s="19"/>
      <c r="F503" s="19"/>
      <c r="G503" s="19"/>
    </row>
    <row r="504" spans="3:7" x14ac:dyDescent="0.2">
      <c r="C504" s="15"/>
      <c r="D504" s="19"/>
      <c r="E504" s="19"/>
      <c r="F504" s="19"/>
      <c r="G504" s="19"/>
    </row>
    <row r="505" spans="3:7" x14ac:dyDescent="0.2">
      <c r="C505" s="15"/>
      <c r="D505" s="19"/>
      <c r="E505" s="19"/>
      <c r="F505" s="19"/>
      <c r="G505" s="19"/>
    </row>
    <row r="506" spans="3:7" x14ac:dyDescent="0.2">
      <c r="C506" s="15"/>
      <c r="D506" s="19"/>
      <c r="E506" s="19"/>
      <c r="F506" s="19"/>
      <c r="G506" s="19"/>
    </row>
    <row r="507" spans="3:7" x14ac:dyDescent="0.2">
      <c r="C507" s="15"/>
      <c r="D507" s="19"/>
      <c r="E507" s="19"/>
      <c r="F507" s="19"/>
      <c r="G507" s="19"/>
    </row>
    <row r="508" spans="3:7" x14ac:dyDescent="0.2">
      <c r="C508" s="15"/>
      <c r="D508" s="19"/>
      <c r="E508" s="19"/>
      <c r="F508" s="19"/>
      <c r="G508" s="19"/>
    </row>
    <row r="509" spans="3:7" x14ac:dyDescent="0.2">
      <c r="C509" s="15"/>
      <c r="D509" s="19"/>
      <c r="E509" s="19"/>
      <c r="F509" s="19"/>
      <c r="G509" s="19"/>
    </row>
    <row r="510" spans="3:7" x14ac:dyDescent="0.2">
      <c r="C510" s="15"/>
      <c r="D510" s="19"/>
      <c r="E510" s="19"/>
      <c r="F510" s="19"/>
      <c r="G510" s="19"/>
    </row>
    <row r="511" spans="3:7" x14ac:dyDescent="0.2">
      <c r="C511" s="15"/>
      <c r="D511" s="19"/>
      <c r="E511" s="19"/>
      <c r="F511" s="19"/>
      <c r="G511" s="19"/>
    </row>
    <row r="512" spans="3:7" x14ac:dyDescent="0.2">
      <c r="C512" s="15"/>
      <c r="D512" s="19"/>
      <c r="E512" s="19"/>
      <c r="F512" s="19"/>
      <c r="G512" s="19"/>
    </row>
    <row r="513" spans="3:7" x14ac:dyDescent="0.2">
      <c r="C513" s="15"/>
      <c r="D513" s="19"/>
      <c r="E513" s="19"/>
      <c r="F513" s="19"/>
      <c r="G513" s="19"/>
    </row>
    <row r="514" spans="3:7" x14ac:dyDescent="0.2">
      <c r="C514" s="15"/>
      <c r="D514" s="19"/>
      <c r="E514" s="19"/>
      <c r="F514" s="19"/>
      <c r="G514" s="19"/>
    </row>
    <row r="515" spans="3:7" x14ac:dyDescent="0.2">
      <c r="C515" s="15"/>
      <c r="D515" s="19"/>
      <c r="E515" s="19"/>
      <c r="F515" s="19"/>
      <c r="G515" s="19"/>
    </row>
    <row r="516" spans="3:7" x14ac:dyDescent="0.2">
      <c r="C516" s="15"/>
      <c r="D516" s="19"/>
      <c r="E516" s="19"/>
      <c r="F516" s="19"/>
      <c r="G516" s="19"/>
    </row>
    <row r="517" spans="3:7" x14ac:dyDescent="0.2">
      <c r="C517" s="15"/>
      <c r="D517" s="19"/>
      <c r="E517" s="19"/>
      <c r="F517" s="19"/>
      <c r="G517" s="19"/>
    </row>
    <row r="518" spans="3:7" x14ac:dyDescent="0.2">
      <c r="C518" s="15"/>
      <c r="D518" s="19"/>
      <c r="E518" s="19"/>
      <c r="F518" s="19"/>
      <c r="G518" s="19"/>
    </row>
    <row r="519" spans="3:7" x14ac:dyDescent="0.2">
      <c r="C519" s="15"/>
      <c r="D519" s="19"/>
      <c r="E519" s="19"/>
      <c r="F519" s="19"/>
      <c r="G519" s="19"/>
    </row>
    <row r="520" spans="3:7" x14ac:dyDescent="0.2">
      <c r="C520" s="15"/>
      <c r="D520" s="19"/>
      <c r="E520" s="19"/>
      <c r="F520" s="19"/>
      <c r="G520" s="19"/>
    </row>
    <row r="521" spans="3:7" x14ac:dyDescent="0.2">
      <c r="C521" s="15"/>
      <c r="D521" s="19"/>
      <c r="E521" s="19"/>
      <c r="F521" s="19"/>
      <c r="G521" s="19"/>
    </row>
    <row r="522" spans="3:7" x14ac:dyDescent="0.2">
      <c r="C522" s="15"/>
      <c r="D522" s="19"/>
      <c r="E522" s="19"/>
      <c r="F522" s="19"/>
      <c r="G522" s="19"/>
    </row>
    <row r="523" spans="3:7" x14ac:dyDescent="0.2">
      <c r="C523" s="15"/>
      <c r="D523" s="19"/>
      <c r="E523" s="19"/>
      <c r="F523" s="19"/>
      <c r="G523" s="19"/>
    </row>
    <row r="524" spans="3:7" x14ac:dyDescent="0.2">
      <c r="C524" s="15"/>
      <c r="D524" s="19"/>
      <c r="E524" s="19"/>
      <c r="F524" s="19"/>
      <c r="G524" s="19"/>
    </row>
    <row r="525" spans="3:7" x14ac:dyDescent="0.2">
      <c r="C525" s="15"/>
      <c r="D525" s="19"/>
      <c r="E525" s="19"/>
      <c r="F525" s="19"/>
      <c r="G525" s="19"/>
    </row>
    <row r="526" spans="3:7" x14ac:dyDescent="0.2">
      <c r="C526" s="15"/>
      <c r="D526" s="19"/>
      <c r="E526" s="19"/>
      <c r="F526" s="19"/>
      <c r="G526" s="19"/>
    </row>
    <row r="527" spans="3:7" x14ac:dyDescent="0.2">
      <c r="C527" s="15"/>
      <c r="D527" s="19"/>
      <c r="E527" s="19"/>
      <c r="F527" s="19"/>
      <c r="G527" s="19"/>
    </row>
    <row r="528" spans="3:7" x14ac:dyDescent="0.2">
      <c r="C528" s="15"/>
      <c r="D528" s="19"/>
      <c r="E528" s="19"/>
      <c r="F528" s="19"/>
      <c r="G528" s="19"/>
    </row>
    <row r="529" spans="3:7" x14ac:dyDescent="0.2">
      <c r="C529" s="15"/>
      <c r="D529" s="19"/>
      <c r="E529" s="19"/>
      <c r="F529" s="19"/>
      <c r="G529" s="19"/>
    </row>
    <row r="530" spans="3:7" x14ac:dyDescent="0.2">
      <c r="C530" s="15"/>
      <c r="D530" s="19"/>
      <c r="E530" s="19"/>
      <c r="F530" s="19"/>
      <c r="G530" s="19"/>
    </row>
    <row r="531" spans="3:7" x14ac:dyDescent="0.2">
      <c r="C531" s="15"/>
      <c r="D531" s="19"/>
      <c r="E531" s="19"/>
      <c r="F531" s="19"/>
      <c r="G531" s="19"/>
    </row>
    <row r="532" spans="3:7" x14ac:dyDescent="0.2">
      <c r="C532" s="15"/>
      <c r="D532" s="19"/>
      <c r="E532" s="19"/>
      <c r="F532" s="19"/>
      <c r="G532" s="19"/>
    </row>
    <row r="533" spans="3:7" x14ac:dyDescent="0.2">
      <c r="C533" s="15"/>
      <c r="D533" s="19"/>
      <c r="E533" s="19"/>
      <c r="F533" s="19"/>
      <c r="G533" s="19"/>
    </row>
    <row r="534" spans="3:7" x14ac:dyDescent="0.2">
      <c r="C534" s="15"/>
      <c r="D534" s="19"/>
      <c r="E534" s="19"/>
      <c r="F534" s="19"/>
      <c r="G534" s="19"/>
    </row>
    <row r="535" spans="3:7" x14ac:dyDescent="0.2">
      <c r="C535" s="15"/>
      <c r="D535" s="19"/>
      <c r="E535" s="19"/>
      <c r="F535" s="19"/>
      <c r="G535" s="19"/>
    </row>
    <row r="536" spans="3:7" x14ac:dyDescent="0.2">
      <c r="C536" s="15"/>
      <c r="D536" s="19"/>
      <c r="E536" s="19"/>
      <c r="F536" s="19"/>
      <c r="G536" s="19"/>
    </row>
    <row r="537" spans="3:7" x14ac:dyDescent="0.2">
      <c r="C537" s="15"/>
      <c r="D537" s="19"/>
      <c r="E537" s="19"/>
      <c r="F537" s="19"/>
      <c r="G537" s="19"/>
    </row>
    <row r="538" spans="3:7" x14ac:dyDescent="0.2">
      <c r="C538" s="15"/>
      <c r="D538" s="19"/>
      <c r="E538" s="19"/>
      <c r="F538" s="19"/>
      <c r="G538" s="19"/>
    </row>
    <row r="539" spans="3:7" x14ac:dyDescent="0.2">
      <c r="C539" s="15"/>
      <c r="D539" s="19"/>
      <c r="E539" s="19"/>
      <c r="F539" s="19"/>
      <c r="G539" s="19"/>
    </row>
    <row r="540" spans="3:7" x14ac:dyDescent="0.2">
      <c r="C540" s="15"/>
      <c r="D540" s="19"/>
      <c r="E540" s="19"/>
      <c r="F540" s="19"/>
      <c r="G540" s="19"/>
    </row>
    <row r="541" spans="3:7" x14ac:dyDescent="0.2">
      <c r="C541" s="15"/>
      <c r="D541" s="19"/>
      <c r="E541" s="19"/>
      <c r="F541" s="19"/>
      <c r="G541" s="19"/>
    </row>
    <row r="542" spans="3:7" x14ac:dyDescent="0.2">
      <c r="C542" s="15"/>
      <c r="D542" s="19"/>
      <c r="E542" s="19"/>
      <c r="F542" s="19"/>
      <c r="G542" s="19"/>
    </row>
    <row r="543" spans="3:7" x14ac:dyDescent="0.2">
      <c r="C543" s="15"/>
      <c r="D543" s="19"/>
      <c r="E543" s="19"/>
      <c r="F543" s="19"/>
      <c r="G543" s="19"/>
    </row>
    <row r="544" spans="3:7" x14ac:dyDescent="0.2">
      <c r="C544" s="15"/>
      <c r="D544" s="19"/>
      <c r="E544" s="19"/>
      <c r="F544" s="19"/>
      <c r="G544" s="19"/>
    </row>
    <row r="545" spans="3:7" x14ac:dyDescent="0.2">
      <c r="C545" s="15"/>
      <c r="D545" s="19"/>
      <c r="E545" s="19"/>
      <c r="F545" s="19"/>
      <c r="G545" s="19"/>
    </row>
    <row r="546" spans="3:7" x14ac:dyDescent="0.2">
      <c r="C546" s="15"/>
      <c r="D546" s="19"/>
      <c r="E546" s="19"/>
      <c r="F546" s="19"/>
      <c r="G546" s="19"/>
    </row>
    <row r="547" spans="3:7" x14ac:dyDescent="0.2">
      <c r="C547" s="15"/>
      <c r="D547" s="19"/>
      <c r="E547" s="19"/>
      <c r="F547" s="19"/>
      <c r="G547" s="19"/>
    </row>
    <row r="548" spans="3:7" x14ac:dyDescent="0.2">
      <c r="C548" s="15"/>
      <c r="D548" s="19"/>
      <c r="E548" s="19"/>
      <c r="F548" s="19"/>
      <c r="G548" s="19"/>
    </row>
    <row r="549" spans="3:7" x14ac:dyDescent="0.2">
      <c r="C549" s="15"/>
      <c r="D549" s="19"/>
      <c r="E549" s="19"/>
      <c r="F549" s="19"/>
      <c r="G549" s="19"/>
    </row>
    <row r="550" spans="3:7" x14ac:dyDescent="0.2">
      <c r="C550" s="15"/>
      <c r="D550" s="19"/>
      <c r="E550" s="19"/>
      <c r="F550" s="19"/>
      <c r="G550" s="19"/>
    </row>
    <row r="551" spans="3:7" x14ac:dyDescent="0.2">
      <c r="C551" s="15"/>
      <c r="D551" s="19"/>
      <c r="E551" s="19"/>
      <c r="F551" s="19"/>
      <c r="G551" s="19"/>
    </row>
    <row r="552" spans="3:7" x14ac:dyDescent="0.2">
      <c r="C552" s="15"/>
      <c r="D552" s="19"/>
      <c r="E552" s="19"/>
      <c r="F552" s="19"/>
      <c r="G552" s="19"/>
    </row>
    <row r="553" spans="3:7" x14ac:dyDescent="0.2">
      <c r="C553" s="15"/>
      <c r="D553" s="19"/>
      <c r="E553" s="19"/>
      <c r="F553" s="19"/>
      <c r="G553" s="19"/>
    </row>
    <row r="554" spans="3:7" x14ac:dyDescent="0.2">
      <c r="C554" s="15"/>
      <c r="D554" s="19"/>
      <c r="E554" s="19"/>
      <c r="F554" s="19"/>
      <c r="G554" s="19"/>
    </row>
    <row r="555" spans="3:7" x14ac:dyDescent="0.2">
      <c r="C555" s="15"/>
      <c r="D555" s="19"/>
      <c r="E555" s="19"/>
      <c r="F555" s="19"/>
      <c r="G555" s="19"/>
    </row>
    <row r="556" spans="3:7" x14ac:dyDescent="0.2">
      <c r="C556" s="15"/>
      <c r="D556" s="19"/>
      <c r="E556" s="19"/>
      <c r="F556" s="19"/>
      <c r="G556" s="19"/>
    </row>
    <row r="557" spans="3:7" x14ac:dyDescent="0.2">
      <c r="C557" s="15"/>
      <c r="D557" s="19"/>
      <c r="E557" s="19"/>
      <c r="F557" s="19"/>
      <c r="G557" s="19"/>
    </row>
    <row r="558" spans="3:7" x14ac:dyDescent="0.2">
      <c r="C558" s="15"/>
      <c r="D558" s="19"/>
      <c r="E558" s="19"/>
      <c r="F558" s="19"/>
      <c r="G558" s="19"/>
    </row>
    <row r="559" spans="3:7" x14ac:dyDescent="0.2">
      <c r="C559" s="15"/>
      <c r="D559" s="19"/>
      <c r="E559" s="19"/>
      <c r="F559" s="19"/>
      <c r="G559" s="19"/>
    </row>
    <row r="560" spans="3:7" x14ac:dyDescent="0.2">
      <c r="C560" s="15"/>
      <c r="D560" s="19"/>
      <c r="E560" s="19"/>
      <c r="F560" s="19"/>
      <c r="G560" s="19"/>
    </row>
    <row r="561" spans="3:7" x14ac:dyDescent="0.2">
      <c r="C561" s="15"/>
      <c r="D561" s="19"/>
      <c r="E561" s="19"/>
      <c r="F561" s="19"/>
      <c r="G561" s="19"/>
    </row>
    <row r="562" spans="3:7" x14ac:dyDescent="0.2">
      <c r="C562" s="15"/>
      <c r="D562" s="19"/>
      <c r="E562" s="19"/>
      <c r="F562" s="19"/>
      <c r="G562" s="19"/>
    </row>
    <row r="563" spans="3:7" x14ac:dyDescent="0.2">
      <c r="C563" s="15"/>
      <c r="D563" s="19"/>
      <c r="E563" s="19"/>
      <c r="F563" s="19"/>
      <c r="G563" s="19"/>
    </row>
    <row r="564" spans="3:7" x14ac:dyDescent="0.2">
      <c r="C564" s="15"/>
      <c r="D564" s="19"/>
      <c r="E564" s="19"/>
      <c r="F564" s="19"/>
      <c r="G564" s="19"/>
    </row>
    <row r="565" spans="3:7" x14ac:dyDescent="0.2">
      <c r="C565" s="15"/>
      <c r="D565" s="19"/>
      <c r="E565" s="19"/>
      <c r="F565" s="19"/>
      <c r="G565" s="19"/>
    </row>
    <row r="566" spans="3:7" x14ac:dyDescent="0.2">
      <c r="C566" s="15"/>
      <c r="D566" s="19"/>
      <c r="E566" s="19"/>
      <c r="F566" s="19"/>
      <c r="G566" s="19"/>
    </row>
    <row r="567" spans="3:7" x14ac:dyDescent="0.2">
      <c r="C567" s="15"/>
      <c r="D567" s="19"/>
      <c r="E567" s="19"/>
      <c r="F567" s="19"/>
      <c r="G567" s="19"/>
    </row>
    <row r="568" spans="3:7" x14ac:dyDescent="0.2">
      <c r="C568" s="15"/>
      <c r="D568" s="19"/>
      <c r="E568" s="19"/>
      <c r="F568" s="19"/>
      <c r="G568" s="19"/>
    </row>
    <row r="569" spans="3:7" x14ac:dyDescent="0.2">
      <c r="C569" s="15"/>
      <c r="D569" s="19"/>
      <c r="E569" s="19"/>
      <c r="F569" s="19"/>
      <c r="G569" s="19"/>
    </row>
    <row r="570" spans="3:7" x14ac:dyDescent="0.2">
      <c r="C570" s="15"/>
      <c r="D570" s="19"/>
      <c r="E570" s="19"/>
      <c r="F570" s="19"/>
      <c r="G570" s="19"/>
    </row>
    <row r="571" spans="3:7" x14ac:dyDescent="0.2">
      <c r="C571" s="15"/>
      <c r="D571" s="19"/>
      <c r="E571" s="19"/>
      <c r="F571" s="19"/>
      <c r="G571" s="19"/>
    </row>
    <row r="572" spans="3:7" x14ac:dyDescent="0.2">
      <c r="C572" s="15"/>
      <c r="D572" s="19"/>
      <c r="E572" s="19"/>
      <c r="F572" s="19"/>
      <c r="G572" s="19"/>
    </row>
    <row r="573" spans="3:7" x14ac:dyDescent="0.2">
      <c r="C573" s="15"/>
      <c r="D573" s="19"/>
      <c r="E573" s="19"/>
      <c r="F573" s="19"/>
      <c r="G573" s="19"/>
    </row>
    <row r="574" spans="3:7" x14ac:dyDescent="0.2">
      <c r="C574" s="15"/>
      <c r="D574" s="19"/>
      <c r="E574" s="19"/>
      <c r="F574" s="19"/>
      <c r="G574" s="19"/>
    </row>
    <row r="575" spans="3:7" x14ac:dyDescent="0.2">
      <c r="C575" s="15"/>
      <c r="D575" s="19"/>
      <c r="E575" s="19"/>
      <c r="F575" s="19"/>
      <c r="G575" s="19"/>
    </row>
    <row r="576" spans="3:7" x14ac:dyDescent="0.2">
      <c r="C576" s="15"/>
      <c r="D576" s="19"/>
      <c r="E576" s="19"/>
      <c r="F576" s="19"/>
      <c r="G576" s="19"/>
    </row>
    <row r="577" spans="3:7" x14ac:dyDescent="0.2">
      <c r="C577" s="15"/>
      <c r="D577" s="19"/>
      <c r="E577" s="19"/>
      <c r="F577" s="19"/>
      <c r="G577" s="19"/>
    </row>
    <row r="578" spans="3:7" x14ac:dyDescent="0.2">
      <c r="C578" s="15"/>
      <c r="D578" s="19"/>
      <c r="E578" s="19"/>
      <c r="F578" s="19"/>
      <c r="G578" s="19"/>
    </row>
    <row r="579" spans="3:7" x14ac:dyDescent="0.2">
      <c r="C579" s="15"/>
      <c r="D579" s="19"/>
      <c r="E579" s="19"/>
      <c r="F579" s="19"/>
      <c r="G579" s="19"/>
    </row>
    <row r="580" spans="3:7" x14ac:dyDescent="0.2">
      <c r="C580" s="15"/>
      <c r="D580" s="19"/>
      <c r="E580" s="19"/>
      <c r="F580" s="19"/>
      <c r="G580" s="19"/>
    </row>
    <row r="581" spans="3:7" x14ac:dyDescent="0.2">
      <c r="C581" s="15"/>
      <c r="D581" s="19"/>
      <c r="E581" s="19"/>
      <c r="F581" s="19"/>
      <c r="G581" s="19"/>
    </row>
    <row r="582" spans="3:7" x14ac:dyDescent="0.2">
      <c r="C582" s="15"/>
      <c r="D582" s="19"/>
      <c r="E582" s="19"/>
      <c r="F582" s="19"/>
      <c r="G582" s="19"/>
    </row>
    <row r="583" spans="3:7" x14ac:dyDescent="0.2">
      <c r="C583" s="15"/>
      <c r="D583" s="19"/>
      <c r="E583" s="19"/>
      <c r="F583" s="19"/>
      <c r="G583" s="19"/>
    </row>
    <row r="584" spans="3:7" x14ac:dyDescent="0.2">
      <c r="C584" s="15"/>
      <c r="D584" s="19"/>
      <c r="E584" s="19"/>
      <c r="F584" s="19"/>
      <c r="G584" s="19"/>
    </row>
    <row r="585" spans="3:7" x14ac:dyDescent="0.2">
      <c r="C585" s="15"/>
      <c r="D585" s="19"/>
      <c r="E585" s="19"/>
      <c r="F585" s="19"/>
      <c r="G585" s="19"/>
    </row>
    <row r="586" spans="3:7" x14ac:dyDescent="0.2">
      <c r="C586" s="15"/>
      <c r="D586" s="19"/>
      <c r="E586" s="19"/>
      <c r="F586" s="19"/>
      <c r="G586" s="19"/>
    </row>
    <row r="587" spans="3:7" x14ac:dyDescent="0.2">
      <c r="C587" s="15"/>
      <c r="D587" s="19"/>
      <c r="E587" s="19"/>
      <c r="F587" s="19"/>
      <c r="G587" s="19"/>
    </row>
    <row r="588" spans="3:7" x14ac:dyDescent="0.2">
      <c r="C588" s="15"/>
      <c r="D588" s="19"/>
      <c r="E588" s="19"/>
      <c r="F588" s="19"/>
      <c r="G588" s="19"/>
    </row>
    <row r="589" spans="3:7" x14ac:dyDescent="0.2">
      <c r="C589" s="15"/>
      <c r="D589" s="19"/>
      <c r="E589" s="19"/>
      <c r="F589" s="19"/>
      <c r="G589" s="19"/>
    </row>
    <row r="590" spans="3:7" x14ac:dyDescent="0.2">
      <c r="C590" s="15"/>
      <c r="D590" s="19"/>
      <c r="E590" s="19"/>
      <c r="F590" s="19"/>
      <c r="G590" s="19"/>
    </row>
    <row r="591" spans="3:7" x14ac:dyDescent="0.2">
      <c r="C591" s="15"/>
      <c r="D591" s="19"/>
      <c r="E591" s="19"/>
      <c r="F591" s="19"/>
      <c r="G591" s="19"/>
    </row>
    <row r="592" spans="3:7" x14ac:dyDescent="0.2">
      <c r="C592" s="15"/>
      <c r="D592" s="19"/>
      <c r="E592" s="19"/>
      <c r="F592" s="19"/>
      <c r="G592" s="19"/>
    </row>
    <row r="593" spans="3:7" x14ac:dyDescent="0.2">
      <c r="C593" s="15"/>
      <c r="D593" s="19"/>
      <c r="E593" s="19"/>
      <c r="F593" s="19"/>
      <c r="G593" s="19"/>
    </row>
    <row r="594" spans="3:7" x14ac:dyDescent="0.2">
      <c r="C594" s="15"/>
      <c r="D594" s="19"/>
      <c r="E594" s="19"/>
      <c r="F594" s="19"/>
      <c r="G594" s="19"/>
    </row>
    <row r="595" spans="3:7" x14ac:dyDescent="0.2">
      <c r="C595" s="15"/>
      <c r="D595" s="19"/>
      <c r="E595" s="19"/>
      <c r="F595" s="19"/>
      <c r="G595" s="19"/>
    </row>
    <row r="596" spans="3:7" x14ac:dyDescent="0.2">
      <c r="C596" s="15"/>
      <c r="D596" s="19"/>
      <c r="E596" s="19"/>
      <c r="F596" s="19"/>
      <c r="G596" s="19"/>
    </row>
    <row r="597" spans="3:7" x14ac:dyDescent="0.2">
      <c r="C597" s="15"/>
      <c r="D597" s="19"/>
      <c r="E597" s="19"/>
      <c r="F597" s="19"/>
      <c r="G597" s="19"/>
    </row>
    <row r="598" spans="3:7" x14ac:dyDescent="0.2">
      <c r="C598" s="15"/>
      <c r="D598" s="19"/>
      <c r="E598" s="19"/>
      <c r="F598" s="19"/>
      <c r="G598" s="19"/>
    </row>
    <row r="599" spans="3:7" x14ac:dyDescent="0.2">
      <c r="C599" s="15"/>
      <c r="D599" s="19"/>
      <c r="E599" s="19"/>
      <c r="F599" s="19"/>
      <c r="G599" s="19"/>
    </row>
    <row r="600" spans="3:7" x14ac:dyDescent="0.2">
      <c r="C600" s="15"/>
      <c r="D600" s="19"/>
      <c r="E600" s="19"/>
      <c r="F600" s="19"/>
      <c r="G600" s="19"/>
    </row>
    <row r="601" spans="3:7" x14ac:dyDescent="0.2">
      <c r="C601" s="15"/>
      <c r="D601" s="19"/>
      <c r="E601" s="19"/>
      <c r="F601" s="19"/>
      <c r="G601" s="19"/>
    </row>
    <row r="602" spans="3:7" x14ac:dyDescent="0.2">
      <c r="C602" s="15"/>
      <c r="D602" s="19"/>
      <c r="E602" s="19"/>
      <c r="F602" s="19"/>
      <c r="G602" s="19"/>
    </row>
    <row r="603" spans="3:7" x14ac:dyDescent="0.2">
      <c r="C603" s="15"/>
      <c r="D603" s="19"/>
      <c r="E603" s="19"/>
      <c r="F603" s="19"/>
      <c r="G603" s="19"/>
    </row>
    <row r="604" spans="3:7" x14ac:dyDescent="0.2">
      <c r="C604" s="15"/>
      <c r="D604" s="19"/>
      <c r="E604" s="19"/>
      <c r="F604" s="19"/>
      <c r="G604" s="19"/>
    </row>
    <row r="605" spans="3:7" x14ac:dyDescent="0.2">
      <c r="C605" s="15"/>
      <c r="D605" s="19"/>
      <c r="E605" s="19"/>
      <c r="F605" s="19"/>
      <c r="G605" s="19"/>
    </row>
    <row r="606" spans="3:7" x14ac:dyDescent="0.2">
      <c r="C606" s="15"/>
      <c r="D606" s="19"/>
      <c r="E606" s="19"/>
      <c r="F606" s="19"/>
      <c r="G606" s="19"/>
    </row>
    <row r="607" spans="3:7" x14ac:dyDescent="0.2">
      <c r="C607" s="15"/>
      <c r="D607" s="19"/>
      <c r="E607" s="19"/>
      <c r="F607" s="19"/>
      <c r="G607" s="19"/>
    </row>
    <row r="608" spans="3:7" x14ac:dyDescent="0.2">
      <c r="C608" s="15"/>
      <c r="D608" s="19"/>
      <c r="E608" s="19"/>
      <c r="F608" s="19"/>
      <c r="G608" s="19"/>
    </row>
    <row r="609" spans="3:7" x14ac:dyDescent="0.2">
      <c r="C609" s="15"/>
      <c r="D609" s="19"/>
      <c r="E609" s="19"/>
      <c r="F609" s="19"/>
      <c r="G609" s="19"/>
    </row>
  </sheetData>
  <sortState xmlns:xlrd2="http://schemas.microsoft.com/office/spreadsheetml/2017/richdata2" ref="A2:H30">
    <sortCondition ref="A2:A30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7E25-49CA-594D-9D7A-05F3E10FBF4A}">
  <dimension ref="A1:P64"/>
  <sheetViews>
    <sheetView workbookViewId="0">
      <selection activeCell="L42" sqref="L42"/>
    </sheetView>
  </sheetViews>
  <sheetFormatPr baseColWidth="10" defaultRowHeight="16" x14ac:dyDescent="0.2"/>
  <cols>
    <col min="1" max="1" width="5.1640625" bestFit="1" customWidth="1"/>
    <col min="2" max="2" width="21.5" bestFit="1" customWidth="1"/>
    <col min="3" max="3" width="18.83203125" bestFit="1" customWidth="1"/>
    <col min="4" max="4" width="19.83203125" bestFit="1" customWidth="1"/>
    <col min="6" max="6" width="14.5" bestFit="1" customWidth="1"/>
  </cols>
  <sheetData>
    <row r="1" spans="1:12" x14ac:dyDescent="0.2">
      <c r="A1" s="3" t="s">
        <v>0</v>
      </c>
      <c r="B1" s="3" t="s">
        <v>22</v>
      </c>
      <c r="C1" s="3" t="s">
        <v>34</v>
      </c>
      <c r="D1" s="3" t="s">
        <v>23</v>
      </c>
      <c r="L1" s="3"/>
    </row>
    <row r="2" spans="1:12" x14ac:dyDescent="0.2">
      <c r="A2" s="3">
        <v>1995</v>
      </c>
      <c r="B2" s="26">
        <v>19252.126192016069</v>
      </c>
      <c r="C2" s="26">
        <v>7383.8475957330711</v>
      </c>
      <c r="D2" s="26">
        <v>15506.07995103945</v>
      </c>
      <c r="H2" s="21"/>
      <c r="I2" s="21"/>
      <c r="K2" s="23"/>
      <c r="L2" s="22"/>
    </row>
    <row r="3" spans="1:12" x14ac:dyDescent="0.2">
      <c r="A3" s="3">
        <v>1996</v>
      </c>
      <c r="B3" s="26">
        <v>19412.840418372278</v>
      </c>
      <c r="C3" s="26">
        <v>7505.6805436188752</v>
      </c>
      <c r="D3" s="26">
        <v>15761.929141599638</v>
      </c>
      <c r="H3" s="21"/>
      <c r="I3" s="21"/>
      <c r="K3" s="23"/>
      <c r="L3" s="22"/>
    </row>
    <row r="4" spans="1:12" x14ac:dyDescent="0.2">
      <c r="A4" s="3">
        <v>1997</v>
      </c>
      <c r="B4" s="26">
        <v>19735.72331667419</v>
      </c>
      <c r="C4" s="26">
        <v>7685.9777793781195</v>
      </c>
      <c r="D4" s="26">
        <v>16140.553336694051</v>
      </c>
      <c r="H4" s="21"/>
      <c r="I4" s="21"/>
      <c r="K4" s="23"/>
      <c r="L4" s="22"/>
    </row>
    <row r="5" spans="1:12" x14ac:dyDescent="0.2">
      <c r="A5" s="3">
        <v>1998</v>
      </c>
      <c r="B5" s="26">
        <v>20255.445838314379</v>
      </c>
      <c r="C5" s="26">
        <v>7940.2051917251501</v>
      </c>
      <c r="D5" s="26">
        <v>16674.430902622815</v>
      </c>
      <c r="H5" s="21"/>
      <c r="I5" s="21"/>
      <c r="K5" s="23"/>
      <c r="L5" s="22"/>
    </row>
    <row r="6" spans="1:12" x14ac:dyDescent="0.2">
      <c r="A6" s="3">
        <v>1999</v>
      </c>
      <c r="B6" s="26">
        <v>20869.963833282232</v>
      </c>
      <c r="C6" s="26">
        <v>8195.1937847830395</v>
      </c>
      <c r="D6" s="26">
        <v>17209.906948044383</v>
      </c>
      <c r="H6" s="21"/>
      <c r="I6" s="21"/>
      <c r="K6" s="23"/>
      <c r="L6" s="22"/>
    </row>
    <row r="7" spans="1:12" x14ac:dyDescent="0.2">
      <c r="A7" s="3">
        <v>2000</v>
      </c>
      <c r="B7" s="26">
        <v>21150.770472454624</v>
      </c>
      <c r="C7" s="26">
        <v>8352.3186149701141</v>
      </c>
      <c r="D7" s="26">
        <v>17539.869091437242</v>
      </c>
      <c r="H7" s="21"/>
      <c r="I7" s="21"/>
      <c r="K7" s="23"/>
      <c r="L7" s="22"/>
    </row>
    <row r="8" spans="1:12" x14ac:dyDescent="0.2">
      <c r="A8" s="3">
        <v>2001</v>
      </c>
      <c r="B8" s="26">
        <v>21172.835649836827</v>
      </c>
      <c r="C8" s="26">
        <v>8388.012284264858</v>
      </c>
      <c r="D8" s="26">
        <v>17614.825796956204</v>
      </c>
      <c r="H8" s="21"/>
      <c r="I8" s="21"/>
      <c r="K8" s="23"/>
      <c r="L8" s="22"/>
    </row>
    <row r="9" spans="1:12" x14ac:dyDescent="0.2">
      <c r="A9" s="3">
        <v>2002</v>
      </c>
      <c r="B9" s="26">
        <v>21429.787730512679</v>
      </c>
      <c r="C9" s="26">
        <v>8688.8192051470487</v>
      </c>
      <c r="D9" s="26">
        <v>18246.520330808806</v>
      </c>
      <c r="H9" s="21"/>
      <c r="I9" s="21"/>
      <c r="K9" s="23"/>
      <c r="L9" s="22"/>
    </row>
    <row r="10" spans="1:12" x14ac:dyDescent="0.2">
      <c r="A10" s="3">
        <v>2003</v>
      </c>
      <c r="B10" s="26">
        <v>21544.322165489615</v>
      </c>
      <c r="C10" s="26">
        <v>8886.292368900391</v>
      </c>
      <c r="D10" s="26">
        <v>18661.213974690821</v>
      </c>
      <c r="H10" s="21"/>
      <c r="I10" s="21"/>
      <c r="K10" s="23"/>
      <c r="L10" s="22"/>
    </row>
    <row r="11" spans="1:12" x14ac:dyDescent="0.2">
      <c r="A11" s="3">
        <v>2004</v>
      </c>
      <c r="B11" s="26">
        <v>21911.85202841102</v>
      </c>
      <c r="C11" s="26">
        <v>9173.3672410834242</v>
      </c>
      <c r="D11" s="26">
        <v>19264.663418492175</v>
      </c>
      <c r="H11" s="21"/>
      <c r="I11" s="21"/>
      <c r="K11" s="23"/>
      <c r="L11" s="22"/>
    </row>
    <row r="12" spans="1:12" x14ac:dyDescent="0.2">
      <c r="A12" s="3">
        <v>2005</v>
      </c>
      <c r="B12" s="26">
        <v>22119.011534545953</v>
      </c>
      <c r="C12" s="26">
        <v>8997.9530642542613</v>
      </c>
      <c r="D12" s="26">
        <v>18895.414510410217</v>
      </c>
      <c r="H12" s="21"/>
      <c r="I12" s="21"/>
      <c r="K12" s="23"/>
      <c r="L12" s="22"/>
    </row>
    <row r="13" spans="1:12" x14ac:dyDescent="0.2">
      <c r="A13" s="3">
        <v>2006</v>
      </c>
      <c r="B13" s="26">
        <v>22183.388322334635</v>
      </c>
      <c r="C13" s="26">
        <v>9245.4994797731451</v>
      </c>
      <c r="D13" s="26">
        <v>19415.133876872111</v>
      </c>
      <c r="H13" s="21"/>
      <c r="I13" s="21"/>
      <c r="K13" s="23"/>
      <c r="L13" s="22"/>
    </row>
    <row r="14" spans="1:12" x14ac:dyDescent="0.2">
      <c r="A14" s="3">
        <v>2007</v>
      </c>
      <c r="B14" s="26">
        <v>22698.041147899065</v>
      </c>
      <c r="C14" s="26">
        <v>9411.9414540279377</v>
      </c>
      <c r="D14" s="26">
        <v>19764.134108129085</v>
      </c>
      <c r="H14" s="21"/>
      <c r="I14" s="21"/>
      <c r="K14" s="23"/>
      <c r="L14" s="22"/>
    </row>
    <row r="15" spans="1:12" x14ac:dyDescent="0.2">
      <c r="A15" s="3">
        <v>2008</v>
      </c>
      <c r="B15" s="8">
        <v>23585.268155981164</v>
      </c>
      <c r="C15" s="26">
        <v>10832.107097071157</v>
      </c>
      <c r="D15" s="26">
        <v>22748.846949177845</v>
      </c>
      <c r="H15" s="21"/>
      <c r="I15" s="21"/>
      <c r="K15" s="23"/>
      <c r="L15" s="22"/>
    </row>
    <row r="16" spans="1:12" x14ac:dyDescent="0.2">
      <c r="A16" s="3">
        <v>2009</v>
      </c>
      <c r="B16" s="8">
        <v>22087</v>
      </c>
      <c r="C16" s="8">
        <v>11317.461341517203</v>
      </c>
      <c r="D16" s="8">
        <v>23765.776373461998</v>
      </c>
      <c r="K16" s="23"/>
      <c r="L16" s="22"/>
    </row>
    <row r="17" spans="1:12" x14ac:dyDescent="0.2">
      <c r="A17" s="3">
        <v>2010</v>
      </c>
      <c r="B17" s="8">
        <v>22216</v>
      </c>
      <c r="C17" s="8">
        <v>11083.452883378308</v>
      </c>
      <c r="D17" s="8">
        <v>23274.871614735552</v>
      </c>
      <c r="K17" s="23"/>
      <c r="L17" s="22"/>
    </row>
    <row r="18" spans="1:12" x14ac:dyDescent="0.2">
      <c r="A18" s="3">
        <v>2011</v>
      </c>
      <c r="B18" s="8">
        <v>21884</v>
      </c>
      <c r="C18" s="8">
        <v>10263.309125114078</v>
      </c>
      <c r="D18" s="8">
        <v>21551.966792878342</v>
      </c>
      <c r="K18" s="23"/>
      <c r="L18" s="22"/>
    </row>
    <row r="19" spans="1:12" x14ac:dyDescent="0.2">
      <c r="A19" s="3">
        <v>2012</v>
      </c>
      <c r="B19" s="8">
        <v>21160</v>
      </c>
      <c r="C19" s="8">
        <v>9978.3930849927474</v>
      </c>
      <c r="D19" s="8">
        <v>20953.306378329318</v>
      </c>
      <c r="K19" s="23"/>
      <c r="L19" s="22"/>
    </row>
    <row r="20" spans="1:12" x14ac:dyDescent="0.2">
      <c r="A20" s="3">
        <v>2013</v>
      </c>
      <c r="B20" s="8">
        <v>20493</v>
      </c>
      <c r="C20" s="8">
        <v>9455.9401548847582</v>
      </c>
      <c r="D20" s="8">
        <v>19858.173556721256</v>
      </c>
      <c r="K20" s="23"/>
      <c r="L20" s="22"/>
    </row>
    <row r="21" spans="1:12" x14ac:dyDescent="0.2">
      <c r="A21" s="3">
        <v>2014</v>
      </c>
      <c r="B21" s="8">
        <v>20709</v>
      </c>
      <c r="C21" s="8">
        <v>9249.8864723352217</v>
      </c>
      <c r="D21" s="8">
        <v>19425.807301968667</v>
      </c>
      <c r="K21" s="23"/>
      <c r="L21" s="22"/>
    </row>
    <row r="22" spans="1:12" x14ac:dyDescent="0.2">
      <c r="A22" s="3">
        <v>2015</v>
      </c>
      <c r="B22" s="8">
        <v>21052</v>
      </c>
      <c r="C22" s="8">
        <v>9402.0014908382218</v>
      </c>
      <c r="D22" s="8">
        <v>19744.085767116641</v>
      </c>
      <c r="K22" s="23"/>
      <c r="L22" s="22"/>
    </row>
    <row r="23" spans="1:12" x14ac:dyDescent="0.2">
      <c r="A23" s="3">
        <v>2016</v>
      </c>
      <c r="B23" s="8">
        <v>21002</v>
      </c>
      <c r="C23" s="8">
        <v>9634.3815052166974</v>
      </c>
      <c r="D23" s="8">
        <v>20231.144888162435</v>
      </c>
      <c r="K23" s="23"/>
      <c r="L23" s="22"/>
    </row>
    <row r="24" spans="1:12" x14ac:dyDescent="0.2">
      <c r="A24" s="3">
        <v>2017</v>
      </c>
      <c r="B24" s="8">
        <v>21075</v>
      </c>
      <c r="C24" s="8">
        <v>9844.2221552800092</v>
      </c>
      <c r="D24" s="8">
        <v>20672.635495293478</v>
      </c>
      <c r="K24" s="23"/>
      <c r="L24" s="22"/>
    </row>
    <row r="25" spans="1:12" x14ac:dyDescent="0.2">
      <c r="A25" s="3">
        <v>2018</v>
      </c>
      <c r="B25" s="8">
        <v>21130</v>
      </c>
      <c r="C25" s="8">
        <v>10135.876252966833</v>
      </c>
      <c r="D25" s="8">
        <v>21285.225872677162</v>
      </c>
      <c r="K25" s="23"/>
      <c r="L25" s="22"/>
    </row>
    <row r="26" spans="1:12" x14ac:dyDescent="0.2">
      <c r="A26" s="3">
        <v>2019</v>
      </c>
      <c r="B26" s="8">
        <v>21260</v>
      </c>
      <c r="C26" s="8">
        <v>10171.495114981199</v>
      </c>
      <c r="D26" s="8">
        <v>21360.252645169199</v>
      </c>
      <c r="K26" s="23"/>
      <c r="L26" s="22"/>
    </row>
    <row r="27" spans="1:12" x14ac:dyDescent="0.2">
      <c r="A27" s="3">
        <v>2020</v>
      </c>
      <c r="B27" s="8">
        <v>21660</v>
      </c>
      <c r="C27" s="8">
        <v>10781.856148349998</v>
      </c>
      <c r="D27" s="8">
        <v>22642.345942124997</v>
      </c>
      <c r="K27" s="23"/>
      <c r="L27" s="22"/>
    </row>
    <row r="28" spans="1:12" x14ac:dyDescent="0.2">
      <c r="A28" s="3">
        <v>2021</v>
      </c>
      <c r="B28" s="8">
        <v>22469</v>
      </c>
      <c r="C28" s="8">
        <v>10733.597174999999</v>
      </c>
      <c r="D28" s="8">
        <v>22541.11692</v>
      </c>
      <c r="K28" s="23"/>
      <c r="L28" s="22"/>
    </row>
    <row r="29" spans="1:12" x14ac:dyDescent="0.2">
      <c r="A29" s="3">
        <v>2022</v>
      </c>
      <c r="B29" s="8">
        <v>23659</v>
      </c>
      <c r="C29" s="8">
        <v>10663.016</v>
      </c>
      <c r="D29" s="8">
        <v>22392.544999999998</v>
      </c>
      <c r="K29" s="23"/>
      <c r="L29" s="22"/>
    </row>
    <row r="30" spans="1:12" x14ac:dyDescent="0.2">
      <c r="A30" s="3">
        <v>2023</v>
      </c>
      <c r="B30" s="8">
        <v>23249</v>
      </c>
      <c r="C30" s="8">
        <v>10990</v>
      </c>
      <c r="D30" s="8">
        <v>23078</v>
      </c>
      <c r="K30" s="23"/>
      <c r="L30" s="22"/>
    </row>
    <row r="31" spans="1:12" x14ac:dyDescent="0.2">
      <c r="A31" s="3"/>
    </row>
    <row r="34" spans="11:16" x14ac:dyDescent="0.2">
      <c r="K34" s="4"/>
      <c r="L34" s="5"/>
    </row>
    <row r="40" spans="11:16" x14ac:dyDescent="0.2">
      <c r="N40" s="3"/>
      <c r="O40" s="4"/>
      <c r="P40" s="5"/>
    </row>
    <row r="41" spans="11:16" x14ac:dyDescent="0.2">
      <c r="N41" s="3"/>
      <c r="O41" s="4"/>
      <c r="P41" s="5"/>
    </row>
    <row r="42" spans="11:16" x14ac:dyDescent="0.2">
      <c r="N42" s="3"/>
      <c r="O42" s="4"/>
      <c r="P42" s="5"/>
    </row>
    <row r="43" spans="11:16" x14ac:dyDescent="0.2">
      <c r="N43" s="3"/>
      <c r="O43" s="4"/>
      <c r="P43" s="5"/>
    </row>
    <row r="44" spans="11:16" x14ac:dyDescent="0.2">
      <c r="N44" s="3"/>
      <c r="O44" s="4"/>
      <c r="P44" s="5"/>
    </row>
    <row r="45" spans="11:16" x14ac:dyDescent="0.2">
      <c r="N45" s="3"/>
      <c r="O45" s="4"/>
      <c r="P45" s="5"/>
    </row>
    <row r="46" spans="11:16" x14ac:dyDescent="0.2">
      <c r="N46" s="3"/>
      <c r="O46" s="4"/>
      <c r="P46" s="5"/>
    </row>
    <row r="47" spans="11:16" x14ac:dyDescent="0.2">
      <c r="N47" s="3"/>
      <c r="O47" s="4"/>
      <c r="P47" s="5"/>
    </row>
    <row r="48" spans="11:16" x14ac:dyDescent="0.2">
      <c r="N48" s="3"/>
      <c r="O48" s="4"/>
      <c r="P48" s="5"/>
    </row>
    <row r="49" spans="14:16" x14ac:dyDescent="0.2">
      <c r="N49" s="3"/>
      <c r="O49" s="4"/>
      <c r="P49" s="5"/>
    </row>
    <row r="50" spans="14:16" x14ac:dyDescent="0.2">
      <c r="N50" s="3"/>
      <c r="O50" s="4"/>
      <c r="P50" s="5"/>
    </row>
    <row r="51" spans="14:16" x14ac:dyDescent="0.2">
      <c r="N51" s="3"/>
      <c r="O51" s="4"/>
      <c r="P51" s="5"/>
    </row>
    <row r="52" spans="14:16" x14ac:dyDescent="0.2">
      <c r="N52" s="3"/>
      <c r="O52" s="4"/>
      <c r="P52" s="5"/>
    </row>
    <row r="53" spans="14:16" x14ac:dyDescent="0.2">
      <c r="N53" s="3"/>
      <c r="O53" s="4"/>
      <c r="P53" s="5"/>
    </row>
    <row r="54" spans="14:16" x14ac:dyDescent="0.2">
      <c r="N54" s="3"/>
      <c r="O54" s="4"/>
      <c r="P54" s="5"/>
    </row>
    <row r="55" spans="14:16" x14ac:dyDescent="0.2">
      <c r="N55" s="3"/>
      <c r="O55" s="4"/>
      <c r="P55" s="5"/>
    </row>
    <row r="56" spans="14:16" x14ac:dyDescent="0.2">
      <c r="N56" s="3"/>
      <c r="O56" s="4"/>
      <c r="P56" s="5"/>
    </row>
    <row r="57" spans="14:16" x14ac:dyDescent="0.2">
      <c r="N57" s="3"/>
      <c r="O57" s="4"/>
      <c r="P57" s="5"/>
    </row>
    <row r="58" spans="14:16" x14ac:dyDescent="0.2">
      <c r="N58" s="3"/>
      <c r="O58" s="4"/>
      <c r="P58" s="5"/>
    </row>
    <row r="59" spans="14:16" x14ac:dyDescent="0.2">
      <c r="N59" s="3"/>
      <c r="O59" s="4"/>
      <c r="P59" s="5"/>
    </row>
    <row r="60" spans="14:16" x14ac:dyDescent="0.2">
      <c r="N60" s="3"/>
      <c r="O60" s="4"/>
      <c r="P60" s="5"/>
    </row>
    <row r="61" spans="14:16" x14ac:dyDescent="0.2">
      <c r="N61" s="3"/>
      <c r="O61" s="4"/>
      <c r="P61" s="5"/>
    </row>
    <row r="62" spans="14:16" x14ac:dyDescent="0.2">
      <c r="N62" s="3"/>
      <c r="O62" s="4"/>
      <c r="P62" s="5"/>
    </row>
    <row r="63" spans="14:16" x14ac:dyDescent="0.2">
      <c r="N63" s="3"/>
      <c r="O63" s="4"/>
      <c r="P63" s="5"/>
    </row>
    <row r="64" spans="14:16" x14ac:dyDescent="0.2">
      <c r="N64" s="3"/>
      <c r="O64" s="4"/>
      <c r="P64" s="5"/>
    </row>
  </sheetData>
  <sortState xmlns:xlrd2="http://schemas.microsoft.com/office/spreadsheetml/2017/richdata2" ref="A2:D30">
    <sortCondition ref="A2:A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697D-5046-9541-A4C8-1D61BBEE8011}">
  <dimension ref="A1:N70"/>
  <sheetViews>
    <sheetView workbookViewId="0">
      <selection activeCell="D36" sqref="D36"/>
    </sheetView>
  </sheetViews>
  <sheetFormatPr baseColWidth="10" defaultRowHeight="16" x14ac:dyDescent="0.2"/>
  <cols>
    <col min="1" max="1" width="5.1640625" bestFit="1" customWidth="1"/>
    <col min="3" max="3" width="16.5" bestFit="1" customWidth="1"/>
    <col min="4" max="4" width="21.6640625" bestFit="1" customWidth="1"/>
    <col min="5" max="5" width="18.83203125" bestFit="1" customWidth="1"/>
    <col min="7" max="7" width="26" bestFit="1" customWidth="1"/>
    <col min="8" max="8" width="25.33203125" bestFit="1" customWidth="1"/>
  </cols>
  <sheetData>
    <row r="1" spans="1:14" x14ac:dyDescent="0.2">
      <c r="A1" s="3" t="s">
        <v>0</v>
      </c>
      <c r="C1" s="15" t="s">
        <v>24</v>
      </c>
      <c r="D1" s="15" t="s">
        <v>25</v>
      </c>
      <c r="E1" s="15" t="s">
        <v>26</v>
      </c>
    </row>
    <row r="2" spans="1:14" ht="18" customHeight="1" x14ac:dyDescent="0.2">
      <c r="A2" s="3">
        <v>2023</v>
      </c>
      <c r="C2" s="9"/>
      <c r="D2" s="9"/>
      <c r="E2" s="24"/>
    </row>
    <row r="3" spans="1:14" ht="18" customHeight="1" x14ac:dyDescent="0.2">
      <c r="A3" s="3">
        <v>2022</v>
      </c>
      <c r="C3" s="9"/>
      <c r="D3" s="9"/>
      <c r="E3" s="24"/>
    </row>
    <row r="4" spans="1:14" ht="18" customHeight="1" x14ac:dyDescent="0.2">
      <c r="A4" s="3">
        <v>2021</v>
      </c>
      <c r="C4" s="9"/>
      <c r="D4" s="9"/>
      <c r="E4" s="24"/>
    </row>
    <row r="5" spans="1:14" ht="18" customHeight="1" x14ac:dyDescent="0.2">
      <c r="A5" s="3">
        <v>2020</v>
      </c>
      <c r="C5" s="9"/>
      <c r="D5" s="9"/>
      <c r="E5" s="24"/>
    </row>
    <row r="6" spans="1:14" ht="18" customHeight="1" x14ac:dyDescent="0.2">
      <c r="A6" s="3">
        <v>2019</v>
      </c>
      <c r="C6" s="9"/>
      <c r="D6" s="9"/>
      <c r="E6" s="24"/>
    </row>
    <row r="7" spans="1:14" ht="18" customHeight="1" x14ac:dyDescent="0.2">
      <c r="A7" s="3">
        <v>2018</v>
      </c>
      <c r="C7" s="9"/>
      <c r="D7" s="9"/>
      <c r="E7" s="24"/>
    </row>
    <row r="8" spans="1:14" ht="18" customHeight="1" x14ac:dyDescent="0.2">
      <c r="A8" s="3">
        <v>2017</v>
      </c>
      <c r="C8" s="9"/>
      <c r="D8" s="9"/>
      <c r="E8" s="24"/>
    </row>
    <row r="9" spans="1:14" ht="18" customHeight="1" x14ac:dyDescent="0.2">
      <c r="A9" s="3">
        <v>2016</v>
      </c>
      <c r="C9" s="9"/>
      <c r="D9" s="9"/>
      <c r="E9" s="24"/>
    </row>
    <row r="10" spans="1:14" ht="18" customHeight="1" x14ac:dyDescent="0.2">
      <c r="A10" s="3">
        <v>2015</v>
      </c>
      <c r="C10" s="9"/>
      <c r="D10" s="9"/>
      <c r="E10" s="24"/>
    </row>
    <row r="11" spans="1:14" ht="18" customHeight="1" x14ac:dyDescent="0.2">
      <c r="A11" s="3">
        <v>2014</v>
      </c>
      <c r="C11" s="9"/>
      <c r="D11" s="9"/>
      <c r="E11" s="24"/>
    </row>
    <row r="12" spans="1:14" ht="18" customHeight="1" x14ac:dyDescent="0.2">
      <c r="A12" s="3">
        <v>2013</v>
      </c>
      <c r="C12" s="9"/>
      <c r="D12" s="9"/>
      <c r="E12" s="24"/>
    </row>
    <row r="13" spans="1:14" ht="18" customHeight="1" x14ac:dyDescent="0.2">
      <c r="A13" s="3">
        <v>2012</v>
      </c>
      <c r="C13" s="9"/>
      <c r="D13" s="9"/>
      <c r="E13" s="24"/>
      <c r="G13" s="1"/>
      <c r="H13" s="1"/>
      <c r="I13" s="1"/>
      <c r="M13" s="1"/>
      <c r="N13" s="1"/>
    </row>
    <row r="14" spans="1:14" ht="18" customHeight="1" x14ac:dyDescent="0.2">
      <c r="A14" s="3">
        <v>2011</v>
      </c>
      <c r="C14" s="9"/>
      <c r="D14" s="9"/>
      <c r="E14" s="24"/>
      <c r="G14" s="2"/>
      <c r="H14" s="2"/>
      <c r="I14" s="2"/>
      <c r="M14" s="2"/>
      <c r="N14" s="2"/>
    </row>
    <row r="15" spans="1:14" ht="18" customHeight="1" x14ac:dyDescent="0.2">
      <c r="A15" s="3">
        <v>2010</v>
      </c>
      <c r="C15" s="9"/>
      <c r="D15" s="9"/>
      <c r="E15" s="24"/>
      <c r="G15" s="2"/>
      <c r="H15" s="2"/>
      <c r="I15" s="2"/>
      <c r="M15" s="2"/>
      <c r="N15" s="2"/>
    </row>
    <row r="16" spans="1:14" ht="18" customHeight="1" x14ac:dyDescent="0.2">
      <c r="A16" s="3">
        <v>2009</v>
      </c>
      <c r="C16" s="9"/>
      <c r="D16" s="9"/>
      <c r="E16" s="24"/>
      <c r="G16" s="2"/>
      <c r="H16" s="2"/>
      <c r="I16" s="2"/>
      <c r="M16" s="2"/>
      <c r="N16" s="2"/>
    </row>
    <row r="17" spans="1:14" ht="18" customHeight="1" x14ac:dyDescent="0.2">
      <c r="A17" s="3">
        <v>2008</v>
      </c>
      <c r="C17" s="9"/>
      <c r="D17" s="9"/>
      <c r="E17" s="24"/>
      <c r="G17" s="2"/>
      <c r="H17" s="2"/>
      <c r="I17" s="2"/>
      <c r="M17" s="2"/>
      <c r="N17" s="2"/>
    </row>
    <row r="18" spans="1:14" ht="18" customHeight="1" x14ac:dyDescent="0.2">
      <c r="A18" s="3">
        <v>2007</v>
      </c>
      <c r="C18" s="9"/>
      <c r="D18" s="9"/>
      <c r="E18" s="24"/>
      <c r="G18" s="2"/>
      <c r="H18" s="2"/>
      <c r="I18" s="2"/>
      <c r="M18" s="2"/>
    </row>
    <row r="19" spans="1:14" ht="18" customHeight="1" x14ac:dyDescent="0.2">
      <c r="A19" s="3">
        <v>2006</v>
      </c>
      <c r="C19" s="9"/>
      <c r="D19" s="9"/>
      <c r="E19" s="24"/>
      <c r="G19" s="2"/>
      <c r="H19" s="2"/>
      <c r="I19" s="2"/>
      <c r="M19" s="2"/>
    </row>
    <row r="20" spans="1:14" ht="18" customHeight="1" x14ac:dyDescent="0.2">
      <c r="A20" s="3">
        <v>2005</v>
      </c>
      <c r="C20" s="9"/>
      <c r="D20" s="9"/>
      <c r="E20" s="24"/>
      <c r="G20" s="1"/>
      <c r="H20" s="1"/>
      <c r="I20" s="2"/>
      <c r="M20" s="2"/>
    </row>
    <row r="21" spans="1:14" ht="18" customHeight="1" x14ac:dyDescent="0.2">
      <c r="A21" s="3">
        <v>2004</v>
      </c>
      <c r="C21" s="9"/>
      <c r="D21" s="9"/>
      <c r="E21" s="9"/>
      <c r="I21" s="2"/>
      <c r="M21" s="2"/>
    </row>
    <row r="22" spans="1:14" ht="18" customHeight="1" x14ac:dyDescent="0.2">
      <c r="A22" s="3">
        <v>2003</v>
      </c>
      <c r="C22" s="9"/>
      <c r="D22" s="9"/>
      <c r="E22" s="9"/>
      <c r="I22" s="2"/>
      <c r="M22" s="2"/>
    </row>
    <row r="23" spans="1:14" ht="18" customHeight="1" x14ac:dyDescent="0.2">
      <c r="A23" s="3">
        <v>2002</v>
      </c>
      <c r="C23" s="9"/>
      <c r="D23" s="9"/>
      <c r="E23" s="9"/>
      <c r="I23" s="2"/>
      <c r="M23" s="2"/>
    </row>
    <row r="24" spans="1:14" ht="18" customHeight="1" x14ac:dyDescent="0.2">
      <c r="A24" s="3">
        <v>2001</v>
      </c>
      <c r="C24" s="9"/>
      <c r="D24" s="9"/>
      <c r="E24" s="9"/>
      <c r="I24" s="1"/>
      <c r="M24" s="2"/>
    </row>
    <row r="25" spans="1:14" ht="18" customHeight="1" x14ac:dyDescent="0.2">
      <c r="A25" s="3">
        <v>2000</v>
      </c>
      <c r="C25" s="9"/>
      <c r="D25" s="9"/>
      <c r="E25" s="9"/>
      <c r="I25" s="2"/>
      <c r="M25" s="2"/>
    </row>
    <row r="26" spans="1:14" ht="18" customHeight="1" x14ac:dyDescent="0.2">
      <c r="A26" s="3">
        <v>1999</v>
      </c>
      <c r="C26" s="9"/>
      <c r="D26" s="9"/>
      <c r="E26" s="9"/>
      <c r="I26" s="2"/>
      <c r="M26" s="2"/>
    </row>
    <row r="27" spans="1:14" ht="18" customHeight="1" x14ac:dyDescent="0.2">
      <c r="A27" s="3">
        <v>1998</v>
      </c>
      <c r="C27" s="9"/>
      <c r="D27" s="9"/>
      <c r="E27" s="9"/>
      <c r="M27" s="2"/>
    </row>
    <row r="28" spans="1:14" ht="18" customHeight="1" x14ac:dyDescent="0.2">
      <c r="A28" s="3">
        <v>1997</v>
      </c>
      <c r="C28" s="9"/>
      <c r="D28" s="9"/>
      <c r="E28" s="9"/>
      <c r="M28" s="2"/>
    </row>
    <row r="29" spans="1:14" ht="18" customHeight="1" x14ac:dyDescent="0.2">
      <c r="A29" s="3">
        <v>1996</v>
      </c>
      <c r="C29" s="9"/>
      <c r="D29" s="9"/>
      <c r="E29" s="9"/>
      <c r="M29" s="2"/>
    </row>
    <row r="30" spans="1:14" ht="18" customHeight="1" x14ac:dyDescent="0.2">
      <c r="A30" s="3">
        <v>1995</v>
      </c>
      <c r="C30" s="9"/>
      <c r="D30" s="9"/>
      <c r="E30" s="9"/>
      <c r="M30" s="2"/>
    </row>
    <row r="31" spans="1:14" x14ac:dyDescent="0.2">
      <c r="A31" s="3"/>
      <c r="E31" s="3"/>
      <c r="M31" s="2"/>
    </row>
    <row r="32" spans="1:14" x14ac:dyDescent="0.2">
      <c r="E32" s="4"/>
      <c r="M32" s="2"/>
    </row>
    <row r="33" spans="3:13" x14ac:dyDescent="0.2">
      <c r="E33" s="4"/>
      <c r="M33" s="2"/>
    </row>
    <row r="34" spans="3:13" x14ac:dyDescent="0.2">
      <c r="E34" s="4"/>
      <c r="M34" s="2"/>
    </row>
    <row r="35" spans="3:13" x14ac:dyDescent="0.2">
      <c r="C35" s="4"/>
      <c r="E35" s="4"/>
      <c r="M35" s="2"/>
    </row>
    <row r="36" spans="3:13" x14ac:dyDescent="0.2">
      <c r="C36" s="4"/>
      <c r="E36" s="4"/>
      <c r="M36" s="2"/>
    </row>
    <row r="37" spans="3:13" x14ac:dyDescent="0.2">
      <c r="C37" s="4"/>
      <c r="E37" s="4"/>
      <c r="M37" s="2"/>
    </row>
    <row r="38" spans="3:13" x14ac:dyDescent="0.2">
      <c r="C38" s="4"/>
      <c r="E38" s="4"/>
      <c r="M38" s="2"/>
    </row>
    <row r="39" spans="3:13" x14ac:dyDescent="0.2">
      <c r="C39" s="4"/>
      <c r="E39" s="4"/>
      <c r="L39" s="2"/>
    </row>
    <row r="40" spans="3:13" x14ac:dyDescent="0.2">
      <c r="C40" s="4"/>
      <c r="E40" s="4"/>
      <c r="L40" s="2"/>
    </row>
    <row r="41" spans="3:13" x14ac:dyDescent="0.2">
      <c r="C41" s="4"/>
      <c r="E41" s="4"/>
      <c r="L41" s="2"/>
    </row>
    <row r="42" spans="3:13" x14ac:dyDescent="0.2">
      <c r="C42" s="4"/>
      <c r="E42" s="4"/>
      <c r="L42" s="2"/>
    </row>
    <row r="43" spans="3:13" x14ac:dyDescent="0.2">
      <c r="C43" s="4"/>
      <c r="E43" s="4"/>
      <c r="L43" s="2"/>
    </row>
    <row r="44" spans="3:13" x14ac:dyDescent="0.2">
      <c r="C44" s="4"/>
      <c r="E44" s="4"/>
      <c r="L44" s="2"/>
    </row>
    <row r="45" spans="3:13" x14ac:dyDescent="0.2">
      <c r="C45" s="4"/>
      <c r="E45" s="4"/>
      <c r="L45" s="2"/>
    </row>
    <row r="46" spans="3:13" x14ac:dyDescent="0.2">
      <c r="C46" s="4"/>
      <c r="E46" s="4"/>
      <c r="L46" s="2"/>
    </row>
    <row r="47" spans="3:13" x14ac:dyDescent="0.2">
      <c r="C47" s="4"/>
      <c r="E47" s="4"/>
      <c r="L47" s="2"/>
      <c r="M47" s="2"/>
    </row>
    <row r="48" spans="3:13" x14ac:dyDescent="0.2">
      <c r="C48" s="4"/>
      <c r="E48" s="4"/>
      <c r="L48" s="2"/>
      <c r="M48" s="2"/>
    </row>
    <row r="49" spans="3:8" x14ac:dyDescent="0.2">
      <c r="C49" s="4"/>
      <c r="E49" s="4"/>
    </row>
    <row r="50" spans="3:8" x14ac:dyDescent="0.2">
      <c r="E50" s="4"/>
    </row>
    <row r="51" spans="3:8" x14ac:dyDescent="0.2">
      <c r="E51" s="4"/>
    </row>
    <row r="52" spans="3:8" x14ac:dyDescent="0.2">
      <c r="E52" s="4"/>
    </row>
    <row r="53" spans="3:8" x14ac:dyDescent="0.2">
      <c r="E53" s="4"/>
    </row>
    <row r="54" spans="3:8" x14ac:dyDescent="0.2">
      <c r="E54" s="4"/>
    </row>
    <row r="55" spans="3:8" x14ac:dyDescent="0.2">
      <c r="E55" s="4"/>
    </row>
    <row r="56" spans="3:8" x14ac:dyDescent="0.2">
      <c r="E56" s="4"/>
    </row>
    <row r="57" spans="3:8" x14ac:dyDescent="0.2">
      <c r="E57" s="4"/>
    </row>
    <row r="58" spans="3:8" x14ac:dyDescent="0.2">
      <c r="E58" s="4"/>
    </row>
    <row r="59" spans="3:8" x14ac:dyDescent="0.2">
      <c r="E59" s="4"/>
    </row>
    <row r="60" spans="3:8" x14ac:dyDescent="0.2">
      <c r="E60" s="4"/>
    </row>
    <row r="61" spans="3:8" x14ac:dyDescent="0.2">
      <c r="E61" s="4"/>
      <c r="G61" s="14"/>
      <c r="H61" s="14"/>
    </row>
    <row r="62" spans="3:8" x14ac:dyDescent="0.2">
      <c r="E62" s="4"/>
      <c r="G62" s="14"/>
      <c r="H62" s="14"/>
    </row>
    <row r="63" spans="3:8" x14ac:dyDescent="0.2">
      <c r="E63" s="4"/>
      <c r="G63" s="14"/>
      <c r="H63" s="14"/>
    </row>
    <row r="64" spans="3:8" x14ac:dyDescent="0.2">
      <c r="E64" s="4"/>
      <c r="G64" s="14"/>
      <c r="H64" s="14"/>
    </row>
    <row r="65" spans="5:8" x14ac:dyDescent="0.2">
      <c r="E65" s="4"/>
      <c r="G65" s="14"/>
      <c r="H65" s="14"/>
    </row>
    <row r="66" spans="5:8" x14ac:dyDescent="0.2">
      <c r="E66" s="4"/>
      <c r="G66" s="14"/>
      <c r="H66" s="14"/>
    </row>
    <row r="67" spans="5:8" x14ac:dyDescent="0.2">
      <c r="E67" s="4"/>
      <c r="G67" s="14"/>
      <c r="H67" s="14"/>
    </row>
    <row r="68" spans="5:8" x14ac:dyDescent="0.2">
      <c r="E68" s="4"/>
      <c r="G68" s="14"/>
      <c r="H68" s="14"/>
    </row>
    <row r="69" spans="5:8" x14ac:dyDescent="0.2">
      <c r="E69" s="4"/>
    </row>
    <row r="70" spans="5:8" x14ac:dyDescent="0.2">
      <c r="E70" s="4"/>
    </row>
  </sheetData>
  <sortState xmlns:xlrd2="http://schemas.microsoft.com/office/spreadsheetml/2017/richdata2" ref="C35:D49">
    <sortCondition descending="1" ref="C35:C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indices_macro</vt:lpstr>
      <vt:lpstr>valores_macro</vt:lpstr>
      <vt:lpstr>valores_demogr</vt:lpstr>
      <vt:lpstr>valores_asalariados</vt:lpstr>
      <vt:lpstr>indices_sect_privado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Fons</dc:creator>
  <cp:lastModifiedBy>Rafael Fons Bibiloni</cp:lastModifiedBy>
  <dcterms:created xsi:type="dcterms:W3CDTF">2025-11-29T08:06:58Z</dcterms:created>
  <dcterms:modified xsi:type="dcterms:W3CDTF">2025-12-03T22:03:08Z</dcterms:modified>
</cp:coreProperties>
</file>